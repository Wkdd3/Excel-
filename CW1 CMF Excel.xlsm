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0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victoriapodyman/Documents/Uni/Computional methods /"/>
    </mc:Choice>
  </mc:AlternateContent>
  <xr:revisionPtr revIDLastSave="0" documentId="8_{9CDB0518-674F-ED4C-B71B-21BB1D170918}" xr6:coauthVersionLast="47" xr6:coauthVersionMax="47" xr10:uidLastSave="{00000000-0000-0000-0000-000000000000}"/>
  <bookViews>
    <workbookView xWindow="0" yWindow="0" windowWidth="28800" windowHeight="18000" activeTab="2" xr2:uid="{00000000-000D-0000-FFFF-FFFF00000000}"/>
  </bookViews>
  <sheets>
    <sheet name="Worksheet" sheetId="2" r:id="rId1"/>
    <sheet name="Analysis" sheetId="4" r:id="rId2"/>
    <sheet name="Covariance, GMVP,  ORP" sheetId="13" r:id="rId3"/>
  </sheets>
  <functionGroups builtInGroupCount="19"/>
  <definedNames>
    <definedName name="solver_adj" localSheetId="2" hidden="1">'Covariance, GMVP,  ORP'!$H$11:$H$12</definedName>
    <definedName name="solver_cvg" localSheetId="2" hidden="1">0.0001</definedName>
    <definedName name="solver_drv" localSheetId="2" hidden="1">1</definedName>
    <definedName name="solver_eng" localSheetId="1" hidden="1">1</definedName>
    <definedName name="solver_eng" localSheetId="2" hidden="1">1</definedName>
    <definedName name="solver_itr" localSheetId="2" hidden="1">2147483647</definedName>
    <definedName name="solver_lhs1" localSheetId="2" hidden="1">'Covariance, GMVP,  ORP'!$H$11</definedName>
    <definedName name="solver_lhs2" localSheetId="2" hidden="1">'Covariance, GMVP,  ORP'!$H$12</definedName>
    <definedName name="solver_lhs3" localSheetId="2" hidden="1">'Covariance, GMVP,  ORP'!$H$13</definedName>
    <definedName name="solver_lhs4" localSheetId="2" hidden="1">'Covariance, GMVP,  ORP'!$H$3</definedName>
    <definedName name="solver_lhs5" localSheetId="2" hidden="1">'Covariance, GMVP,  ORP'!$I$3</definedName>
    <definedName name="solver_lhs6" localSheetId="2" hidden="1">'Covariance, GMVP,  ORP'!$I$3</definedName>
    <definedName name="solver_lhs7" localSheetId="2" hidden="1">'Covariance, GMVP,  ORP'!$J$3</definedName>
    <definedName name="solver_lin" localSheetId="1" hidden="1">2</definedName>
    <definedName name="solver_lin" localSheetId="2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1" hidden="1">1</definedName>
    <definedName name="solver_neg" localSheetId="2" hidden="1">2</definedName>
    <definedName name="solver_nod" localSheetId="2" hidden="1">2147483647</definedName>
    <definedName name="solver_num" localSheetId="1" hidden="1">0</definedName>
    <definedName name="solver_num" localSheetId="2" hidden="1">3</definedName>
    <definedName name="solver_opt" localSheetId="1" hidden="1">Analysis!$A$7</definedName>
    <definedName name="solver_opt" localSheetId="2" hidden="1">'Covariance, GMVP,  ORP'!$H$19</definedName>
    <definedName name="solver_pre" localSheetId="2" hidden="1">0.000001</definedName>
    <definedName name="solver_rbv" localSheetId="2" hidden="1">1</definedName>
    <definedName name="solver_rel1" localSheetId="2" hidden="1">3</definedName>
    <definedName name="solver_rel2" localSheetId="2" hidden="1">3</definedName>
    <definedName name="solver_rel3" localSheetId="2" hidden="1">2</definedName>
    <definedName name="solver_rel4" localSheetId="2" hidden="1">3</definedName>
    <definedName name="solver_rel5" localSheetId="2" hidden="1">1</definedName>
    <definedName name="solver_rel6" localSheetId="2" hidden="1">3</definedName>
    <definedName name="solver_rel7" localSheetId="2" hidden="1">2</definedName>
    <definedName name="solver_rhs1" localSheetId="2" hidden="1">0</definedName>
    <definedName name="solver_rhs2" localSheetId="2" hidden="1">0</definedName>
    <definedName name="solver_rhs3" localSheetId="2" hidden="1">1</definedName>
    <definedName name="solver_rhs4" localSheetId="2" hidden="1">0</definedName>
    <definedName name="solver_rhs5" localSheetId="2" hidden="1">1</definedName>
    <definedName name="solver_rhs6" localSheetId="2" hidden="1">0</definedName>
    <definedName name="solver_rhs7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1" hidden="1">2</definedName>
    <definedName name="solver_typ" localSheetId="2" hidden="1">1</definedName>
    <definedName name="solver_val" localSheetId="1" hidden="1">0</definedName>
    <definedName name="solver_val" localSheetId="2" hidden="1">0</definedName>
    <definedName name="solver_ver" localSheetId="1" hidden="1">2</definedName>
    <definedName name="solver_ver" localSheetId="2" hidden="1">2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9" i="13" l="1"/>
  <c r="F28" i="13"/>
  <c r="F27" i="13"/>
  <c r="F26" i="13"/>
  <c r="F25" i="13"/>
  <c r="F24" i="13"/>
  <c r="E29" i="13"/>
  <c r="E28" i="13"/>
  <c r="E27" i="13"/>
  <c r="E26" i="13"/>
  <c r="E25" i="13"/>
  <c r="E24" i="13"/>
  <c r="D29" i="13"/>
  <c r="D28" i="13"/>
  <c r="D27" i="13"/>
  <c r="D26" i="13"/>
  <c r="D25" i="13"/>
  <c r="D24" i="13"/>
  <c r="H19" i="13"/>
  <c r="H18" i="13"/>
  <c r="H17" i="13"/>
  <c r="H16" i="13"/>
  <c r="H13" i="13"/>
  <c r="H11" i="13"/>
  <c r="H12" i="13"/>
  <c r="J10" i="13"/>
  <c r="J9" i="13"/>
  <c r="J3" i="13"/>
  <c r="K3" i="13"/>
  <c r="B130" i="2"/>
  <c r="C130" i="2"/>
  <c r="D130" i="2"/>
  <c r="I3" i="2"/>
  <c r="D4" i="13" s="1"/>
  <c r="I4" i="2"/>
  <c r="I5" i="2"/>
  <c r="I6" i="2"/>
  <c r="I7" i="2"/>
  <c r="I8" i="2"/>
  <c r="G3" i="2"/>
  <c r="G17" i="2"/>
  <c r="G9" i="2"/>
  <c r="G5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3" i="2"/>
  <c r="C3" i="13" s="1"/>
  <c r="G4" i="2"/>
  <c r="G6" i="2"/>
  <c r="G7" i="2"/>
  <c r="G8" i="2"/>
  <c r="G10" i="2"/>
  <c r="G11" i="2"/>
  <c r="B2" i="13" s="1"/>
  <c r="G12" i="2"/>
  <c r="G13" i="2"/>
  <c r="G14" i="2"/>
  <c r="G15" i="2"/>
  <c r="G16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B27" i="13"/>
  <c r="B26" i="13"/>
  <c r="B25" i="13"/>
  <c r="B29" i="13"/>
  <c r="B28" i="13"/>
  <c r="B24" i="13"/>
</calcChain>
</file>

<file path=xl/sharedStrings.xml><?xml version="1.0" encoding="utf-8"?>
<sst xmlns="http://schemas.openxmlformats.org/spreadsheetml/2006/main" count="56" uniqueCount="46">
  <si>
    <t>Date</t>
  </si>
  <si>
    <t>TSLA close</t>
  </si>
  <si>
    <t xml:space="preserve">JPM close </t>
  </si>
  <si>
    <t xml:space="preserve">APPL close </t>
  </si>
  <si>
    <t xml:space="preserve">TSLA </t>
  </si>
  <si>
    <t>APPL Daily Return</t>
  </si>
  <si>
    <t>TSLA Daily Return</t>
  </si>
  <si>
    <t>JPM Daily Return</t>
  </si>
  <si>
    <t>Daily Volatility</t>
  </si>
  <si>
    <t xml:space="preserve">Daily Volatility </t>
  </si>
  <si>
    <t>or 1.37%</t>
  </si>
  <si>
    <t>1,61%</t>
  </si>
  <si>
    <t>4,06%</t>
  </si>
  <si>
    <t>Statistic</t>
  </si>
  <si>
    <t>AAPL</t>
  </si>
  <si>
    <t>TSLA</t>
  </si>
  <si>
    <t>JPM</t>
  </si>
  <si>
    <t>Annualized Volatility</t>
  </si>
  <si>
    <t>CAGR</t>
  </si>
  <si>
    <t xml:space="preserve">JPM </t>
  </si>
  <si>
    <t xml:space="preserve">APPL </t>
  </si>
  <si>
    <t>W(AAPL)</t>
  </si>
  <si>
    <t>W(TSLA)</t>
  </si>
  <si>
    <t>W(JPM)</t>
  </si>
  <si>
    <t>Portfolo Variance</t>
  </si>
  <si>
    <t>Total</t>
  </si>
  <si>
    <t xml:space="preserve"> Global Minimum Variance Portfolio</t>
  </si>
  <si>
    <t>Covariance matrix</t>
  </si>
  <si>
    <t>Optimal Risky Portfolio </t>
  </si>
  <si>
    <t>Risk-Free Rate</t>
  </si>
  <si>
    <t>AAPL-JPM Only</t>
  </si>
  <si>
    <t>Weights</t>
  </si>
  <si>
    <t xml:space="preserve">Expected Returns annual </t>
  </si>
  <si>
    <t>Portfolio Metrics</t>
  </si>
  <si>
    <t>Expected Return</t>
  </si>
  <si>
    <t>Variance</t>
  </si>
  <si>
    <t>Std Deviation</t>
  </si>
  <si>
    <t>Sharpe Ratio</t>
  </si>
  <si>
    <t>excess return APPL</t>
  </si>
  <si>
    <t>excess return JPM</t>
  </si>
  <si>
    <t>Optimal Complete Portfolio</t>
  </si>
  <si>
    <t>Allocation</t>
  </si>
  <si>
    <t>Wght in Risky Portfolio</t>
  </si>
  <si>
    <t>St Deviation</t>
  </si>
  <si>
    <t>Weight in Risk-Free</t>
  </si>
  <si>
    <t>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</si>
</sst>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Arial Unicode MS"/>
      <family val="2"/>
    </font>
    <font>
      <sz val="14"/>
      <color rgb="FF000000"/>
      <name val="-webkit-standard"/>
    </font>
    <font>
      <b/>
      <sz val="12"/>
      <color rgb="FF000000"/>
      <name val="Arial"/>
      <family val="2"/>
    </font>
    <font>
      <b/>
      <sz val="12"/>
      <color rgb="FF000000"/>
      <name val="-webkit-standard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8" fillId="3" borderId="0" applyNumberFormat="0" applyBorder="0" applyAlignment="0" applyProtection="0"/>
    <xf numFmtId="0" fontId="12" fillId="6" borderId="4" applyNumberFormat="0" applyAlignment="0" applyProtection="0"/>
    <xf numFmtId="0" fontId="14" fillId="7" borderId="7" applyNumberFormat="0" applyAlignment="0" applyProtection="0"/>
    <xf numFmtId="0" fontId="1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10" fillId="5" borderId="4" applyNumberFormat="0" applyAlignment="0" applyProtection="0"/>
    <xf numFmtId="0" fontId="13" fillId="0" borderId="6" applyNumberFormat="0" applyFill="0" applyAlignment="0" applyProtection="0"/>
    <xf numFmtId="0" fontId="9" fillId="4" borderId="0" applyNumberFormat="0" applyBorder="0" applyAlignment="0" applyProtection="0"/>
    <xf numFmtId="0" fontId="2" fillId="8" borderId="8" applyNumberFormat="0" applyFont="0" applyAlignment="0" applyProtection="0"/>
    <xf numFmtId="0" fontId="11" fillId="6" borderId="5" applyNumberFormat="0" applyAlignment="0" applyProtection="0"/>
    <xf numFmtId="0" fontId="3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5" fillId="0" borderId="0" applyNumberFormat="0" applyFill="0" applyBorder="0" applyAlignment="0" applyProtection="0"/>
    <xf numFmtId="22" fontId="1" fillId="0" borderId="0"/>
  </cellStyleXfs>
  <cellXfs count="21">
    <xf numFmtId="0" fontId="0" fillId="0" borderId="0" xfId="0"/>
    <xf numFmtId="14" fontId="0" fillId="0" borderId="0" xfId="0" applyNumberFormat="1"/>
    <xf numFmtId="0" fontId="20" fillId="0" borderId="0" xfId="0" applyFont="1"/>
    <xf numFmtId="10" fontId="0" fillId="0" borderId="0" xfId="0" applyNumberFormat="1"/>
    <xf numFmtId="10" fontId="19" fillId="0" borderId="0" xfId="0" applyNumberFormat="1" applyFont="1"/>
    <xf numFmtId="10" fontId="20" fillId="0" borderId="0" xfId="0" applyNumberFormat="1" applyFont="1"/>
    <xf numFmtId="0" fontId="0" fillId="0" borderId="10" xfId="0" applyBorder="1"/>
    <xf numFmtId="10" fontId="0" fillId="0" borderId="10" xfId="0" applyNumberFormat="1" applyBorder="1"/>
    <xf numFmtId="10" fontId="20" fillId="0" borderId="10" xfId="0" applyNumberFormat="1" applyFont="1" applyBorder="1"/>
    <xf numFmtId="0" fontId="20" fillId="0" borderId="10" xfId="0" applyFont="1" applyBorder="1"/>
    <xf numFmtId="0" fontId="17" fillId="0" borderId="10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21" fillId="0" borderId="0" xfId="0" applyFont="1"/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9" fontId="0" fillId="0" borderId="0" xfId="0" applyNumberFormat="1"/>
    <xf numFmtId="9" fontId="21" fillId="0" borderId="0" xfId="0" applyNumberFormat="1" applyFont="1"/>
    <xf numFmtId="0" fontId="17" fillId="0" borderId="0" xfId="0" applyFont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blp_datetime" xfId="42" xr:uid="{00000000-0005-0000-0000-000019000000}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GB"/>
              <a:t>Capital Allocation Line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97922134733158E-2"/>
          <c:y val="0.18763888888888891"/>
          <c:w val="0.90342366579177602"/>
          <c:h val="0.70962962962962961"/>
        </c:manualLayout>
      </c:layout>
      <c:scatterChart>
        <c:scatterStyle val="smooth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'Covariance, GMVP,  ORP'!$D$24:$D$29</c:f>
              <c:numCache>
                <c:formatCode>General</c:formatCode>
                <c:ptCount val="6"/>
                <c:pt idx="0">
                  <c:v>4.7500000000000001E-2</c:v>
                </c:pt>
                <c:pt idx="1">
                  <c:v>-1.3308571999999991E-2</c:v>
                </c:pt>
                <c:pt idx="2">
                  <c:v>-7.4117143999999996E-2</c:v>
                </c:pt>
                <c:pt idx="3">
                  <c:v>-0.13492571599999997</c:v>
                </c:pt>
                <c:pt idx="4">
                  <c:v>-0.19573428799999998</c:v>
                </c:pt>
                <c:pt idx="5">
                  <c:v>-0.25654285999999998</c:v>
                </c:pt>
              </c:numCache>
            </c:numRef>
          </c:xVal>
          <c:yVal>
            <c:numRef>
              <c:f>'Covariance, GMVP,  ORP'!$E$24:$E$29</c:f>
              <c:numCache>
                <c:formatCode>General</c:formatCode>
                <c:ptCount val="6"/>
                <c:pt idx="0">
                  <c:v>0</c:v>
                </c:pt>
                <c:pt idx="1">
                  <c:v>2.3128021908876417E-3</c:v>
                </c:pt>
                <c:pt idx="2">
                  <c:v>4.6256043817752834E-3</c:v>
                </c:pt>
                <c:pt idx="3">
                  <c:v>6.9384065726629252E-3</c:v>
                </c:pt>
                <c:pt idx="4">
                  <c:v>9.2512087635505669E-3</c:v>
                </c:pt>
                <c:pt idx="5">
                  <c:v>1.1564010954438209E-2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31-564A-A408-FB7185E42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984287"/>
        <c:axId val="794978031"/>
      </c:scatterChart>
      <c:valAx>
        <c:axId val="795984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Expected Return</a:t>
                </a:r>
              </a:p>
            </c:rich>
          </c:tx>
          <c:layout>
            <c:manualLayout>
              <c:xMode val="edge"/>
              <c:yMode val="edge"/>
              <c:x val="0.39501667032395221"/>
              <c:y val="0.863919645194839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978031"/>
        <c:crosses val="autoZero"/>
        <c:crossBetween val="midCat"/>
      </c:valAx>
      <c:valAx>
        <c:axId val="794978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Standard Deviation</a:t>
                </a:r>
              </a:p>
            </c:rich>
          </c:tx>
          <c:layout>
            <c:manualLayout>
              <c:xMode val="edge"/>
              <c:yMode val="edge"/>
              <c:x val="0.90773044282618176"/>
              <c:y val="0.349885535007541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984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54042</xdr:rowOff>
    </xdr:from>
    <xdr:to>
      <xdr:col>3</xdr:col>
      <xdr:colOff>283723</xdr:colOff>
      <xdr:row>44</xdr:row>
      <xdr:rowOff>108085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9DB34A-B5F6-417E-0D3F-29293BB1A2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31"/>
  <sheetViews>
    <sheetView zoomScale="85" workbookViewId="0">
      <selection activeCell="G1" sqref="G1:I127"/>
    </sheetView>
  </sheetViews>
  <sheetFormatPr baseColWidth="10" defaultColWidth="8.83203125" defaultRowHeight="15"/>
  <cols>
    <col min="1" max="1" width="11.83203125" customWidth="1"/>
    <col min="2" max="2" width="15" customWidth="1"/>
    <col min="3" max="3" width="16" customWidth="1"/>
    <col min="4" max="4" width="12.33203125" customWidth="1"/>
    <col min="5" max="5" width="14" customWidth="1"/>
    <col min="6" max="6" width="13.83203125" customWidth="1"/>
    <col min="7" max="7" width="13.6640625" customWidth="1"/>
    <col min="8" max="8" width="11.83203125" customWidth="1"/>
    <col min="9" max="9" width="17.6640625" customWidth="1"/>
    <col min="10" max="10" width="13.33203125" customWidth="1"/>
    <col min="11" max="11" width="16.83203125" customWidth="1"/>
  </cols>
  <sheetData>
    <row r="1" spans="1:9">
      <c r="A1" t="s">
        <v>0</v>
      </c>
      <c r="B1" t="s">
        <v>3</v>
      </c>
      <c r="C1" t="s">
        <v>1</v>
      </c>
      <c r="D1" t="s">
        <v>2</v>
      </c>
      <c r="G1" t="s">
        <v>5</v>
      </c>
      <c r="H1" t="s">
        <v>6</v>
      </c>
      <c r="I1" t="s">
        <v>7</v>
      </c>
    </row>
    <row r="2" spans="1:9">
      <c r="A2" s="1">
        <v>45708</v>
      </c>
      <c r="B2">
        <v>245.83</v>
      </c>
      <c r="C2">
        <v>354.4</v>
      </c>
      <c r="D2">
        <v>266.8</v>
      </c>
    </row>
    <row r="3" spans="1:9">
      <c r="A3" s="1">
        <v>45707</v>
      </c>
      <c r="B3">
        <v>244.87</v>
      </c>
      <c r="C3">
        <v>360.56</v>
      </c>
      <c r="D3">
        <v>279.25</v>
      </c>
      <c r="G3">
        <f t="shared" ref="G3:G34" si="0">(B3-B2)/B2</f>
        <v>-3.9051376967823613E-3</v>
      </c>
      <c r="H3">
        <f t="shared" ref="H3:H34" si="1">(C3-C2)/C2</f>
        <v>1.7381489841986529E-2</v>
      </c>
      <c r="I3">
        <f t="shared" ref="I3:I34" si="2">(D3-D2)/D2</f>
        <v>4.6664167916041936E-2</v>
      </c>
    </row>
    <row r="4" spans="1:9">
      <c r="A4" s="1">
        <v>45706</v>
      </c>
      <c r="B4">
        <v>244.47</v>
      </c>
      <c r="C4">
        <v>354.11</v>
      </c>
      <c r="D4">
        <v>279.95</v>
      </c>
      <c r="G4">
        <f t="shared" si="0"/>
        <v>-1.6335198268469216E-3</v>
      </c>
      <c r="H4">
        <f t="shared" si="1"/>
        <v>-1.7888839582871057E-2</v>
      </c>
      <c r="I4">
        <f t="shared" si="2"/>
        <v>2.5067144136078374E-3</v>
      </c>
    </row>
    <row r="5" spans="1:9">
      <c r="A5" s="1">
        <v>45702</v>
      </c>
      <c r="B5">
        <v>244.6</v>
      </c>
      <c r="C5">
        <v>355.84</v>
      </c>
      <c r="D5">
        <v>276.58999999999997</v>
      </c>
      <c r="G5">
        <f t="shared" si="0"/>
        <v>5.3176258845664276E-4</v>
      </c>
      <c r="H5">
        <f t="shared" si="1"/>
        <v>4.8854875603624899E-3</v>
      </c>
      <c r="I5">
        <f t="shared" si="2"/>
        <v>-1.2002143239864311E-2</v>
      </c>
    </row>
    <row r="6" spans="1:9">
      <c r="A6" s="1">
        <v>45701</v>
      </c>
      <c r="B6">
        <v>241.53</v>
      </c>
      <c r="C6">
        <v>355.94</v>
      </c>
      <c r="D6">
        <v>276.32</v>
      </c>
      <c r="G6">
        <f t="shared" si="0"/>
        <v>-1.2551103843008967E-2</v>
      </c>
      <c r="H6">
        <f t="shared" si="1"/>
        <v>2.8102517985617901E-4</v>
      </c>
      <c r="I6">
        <f t="shared" si="2"/>
        <v>-9.7617412053936094E-4</v>
      </c>
    </row>
    <row r="7" spans="1:9">
      <c r="A7" s="1">
        <v>45700</v>
      </c>
      <c r="B7">
        <v>236.87</v>
      </c>
      <c r="C7">
        <v>336.51</v>
      </c>
      <c r="D7">
        <v>275.45</v>
      </c>
      <c r="G7">
        <f t="shared" si="0"/>
        <v>-1.929366952345463E-2</v>
      </c>
      <c r="H7">
        <f t="shared" si="1"/>
        <v>-5.4587851885149204E-2</v>
      </c>
      <c r="I7">
        <f t="shared" si="2"/>
        <v>-3.1485234510712384E-3</v>
      </c>
    </row>
    <row r="8" spans="1:9">
      <c r="A8" s="1">
        <v>45699</v>
      </c>
      <c r="B8">
        <v>232.62</v>
      </c>
      <c r="C8">
        <v>328.5</v>
      </c>
      <c r="D8">
        <v>274.99</v>
      </c>
      <c r="G8">
        <f t="shared" si="0"/>
        <v>-1.7942331236543253E-2</v>
      </c>
      <c r="H8">
        <f t="shared" si="1"/>
        <v>-2.3803155924043834E-2</v>
      </c>
      <c r="I8">
        <f t="shared" si="2"/>
        <v>-1.6699945543655094E-3</v>
      </c>
    </row>
    <row r="9" spans="1:9">
      <c r="A9" s="1">
        <v>45698</v>
      </c>
      <c r="B9">
        <v>227.65</v>
      </c>
      <c r="C9">
        <v>350.73</v>
      </c>
      <c r="D9">
        <v>271.04000000000002</v>
      </c>
      <c r="G9">
        <f t="shared" si="0"/>
        <v>-2.1365316825724352E-2</v>
      </c>
      <c r="H9">
        <f t="shared" si="1"/>
        <v>6.7671232876712381E-2</v>
      </c>
      <c r="I9">
        <f t="shared" si="2"/>
        <v>-1.4364158696679837E-2</v>
      </c>
    </row>
    <row r="10" spans="1:9">
      <c r="A10" s="1">
        <v>45695</v>
      </c>
      <c r="B10">
        <v>227.63</v>
      </c>
      <c r="C10">
        <v>361.62</v>
      </c>
      <c r="D10">
        <v>275.8</v>
      </c>
      <c r="G10">
        <f t="shared" si="0"/>
        <v>-8.7854162090974001E-5</v>
      </c>
      <c r="H10">
        <f t="shared" si="1"/>
        <v>3.1049525275853179E-2</v>
      </c>
      <c r="I10">
        <f t="shared" si="2"/>
        <v>1.7561983471074346E-2</v>
      </c>
    </row>
    <row r="11" spans="1:9">
      <c r="A11" s="1">
        <v>45694</v>
      </c>
      <c r="B11">
        <v>233.22</v>
      </c>
      <c r="C11">
        <v>374.32</v>
      </c>
      <c r="D11">
        <v>276.89999999999998</v>
      </c>
      <c r="G11">
        <f t="shared" si="0"/>
        <v>2.4557395773843534E-2</v>
      </c>
      <c r="H11">
        <f t="shared" si="1"/>
        <v>3.5119738952491535E-2</v>
      </c>
      <c r="I11">
        <f t="shared" si="2"/>
        <v>3.9883973894124939E-3</v>
      </c>
    </row>
    <row r="12" spans="1:9">
      <c r="A12" s="1">
        <v>45693</v>
      </c>
      <c r="B12">
        <v>232.47</v>
      </c>
      <c r="C12">
        <v>378.17</v>
      </c>
      <c r="D12">
        <v>270.43</v>
      </c>
      <c r="G12">
        <f t="shared" si="0"/>
        <v>-3.2158476974530488E-3</v>
      </c>
      <c r="H12">
        <f t="shared" si="1"/>
        <v>1.0285317375507648E-2</v>
      </c>
      <c r="I12">
        <f t="shared" si="2"/>
        <v>-2.3365836041892275E-2</v>
      </c>
    </row>
    <row r="13" spans="1:9">
      <c r="A13" s="1">
        <v>45692</v>
      </c>
      <c r="B13">
        <v>232.8</v>
      </c>
      <c r="C13">
        <v>392.21</v>
      </c>
      <c r="D13">
        <v>267.94</v>
      </c>
      <c r="G13">
        <f t="shared" si="0"/>
        <v>1.4195380049039123E-3</v>
      </c>
      <c r="H13">
        <f t="shared" si="1"/>
        <v>3.7126160192505919E-2</v>
      </c>
      <c r="I13">
        <f t="shared" si="2"/>
        <v>-9.2075583330252161E-3</v>
      </c>
    </row>
    <row r="14" spans="1:9">
      <c r="A14" s="1">
        <v>45691</v>
      </c>
      <c r="B14">
        <v>228.01</v>
      </c>
      <c r="C14">
        <v>383.68</v>
      </c>
      <c r="D14">
        <v>266.81</v>
      </c>
      <c r="G14">
        <f t="shared" si="0"/>
        <v>-2.0575601374570533E-2</v>
      </c>
      <c r="H14">
        <f t="shared" si="1"/>
        <v>-2.1748553071058802E-2</v>
      </c>
      <c r="I14">
        <f t="shared" si="2"/>
        <v>-4.2173620959916232E-3</v>
      </c>
    </row>
    <row r="15" spans="1:9">
      <c r="A15" s="1">
        <v>45688</v>
      </c>
      <c r="B15">
        <v>236</v>
      </c>
      <c r="C15">
        <v>404.6</v>
      </c>
      <c r="D15">
        <v>267.3</v>
      </c>
      <c r="G15">
        <f t="shared" si="0"/>
        <v>3.5042322705144555E-2</v>
      </c>
      <c r="H15">
        <f t="shared" si="1"/>
        <v>5.4524603836530482E-2</v>
      </c>
      <c r="I15">
        <f t="shared" si="2"/>
        <v>1.8365128743300816E-3</v>
      </c>
    </row>
    <row r="16" spans="1:9">
      <c r="A16" s="1">
        <v>45687</v>
      </c>
      <c r="B16">
        <v>237.59</v>
      </c>
      <c r="C16">
        <v>400.28</v>
      </c>
      <c r="D16">
        <v>268.23</v>
      </c>
      <c r="G16">
        <f t="shared" si="0"/>
        <v>6.7372881355932347E-3</v>
      </c>
      <c r="H16">
        <f t="shared" si="1"/>
        <v>-1.0677212061295229E-2</v>
      </c>
      <c r="I16">
        <f t="shared" si="2"/>
        <v>3.4792368125701714E-3</v>
      </c>
    </row>
    <row r="17" spans="1:9">
      <c r="A17" s="1">
        <v>45686</v>
      </c>
      <c r="B17">
        <v>239.36</v>
      </c>
      <c r="C17">
        <v>389.1</v>
      </c>
      <c r="D17">
        <v>266.58</v>
      </c>
      <c r="G17">
        <f t="shared" si="0"/>
        <v>7.4498084936235123E-3</v>
      </c>
      <c r="H17">
        <f t="shared" si="1"/>
        <v>-2.7930448685919734E-2</v>
      </c>
      <c r="I17">
        <f t="shared" si="2"/>
        <v>-6.1514371994185364E-3</v>
      </c>
    </row>
    <row r="18" spans="1:9">
      <c r="A18" s="1">
        <v>45685</v>
      </c>
      <c r="B18">
        <v>238.26</v>
      </c>
      <c r="C18">
        <v>398.09</v>
      </c>
      <c r="D18">
        <v>267.14</v>
      </c>
      <c r="G18">
        <f t="shared" si="0"/>
        <v>-4.5955882352942123E-3</v>
      </c>
      <c r="H18">
        <f t="shared" si="1"/>
        <v>2.3104600359804554E-2</v>
      </c>
      <c r="I18">
        <f t="shared" si="2"/>
        <v>2.1006827218846211E-3</v>
      </c>
    </row>
    <row r="19" spans="1:9">
      <c r="A19" s="1">
        <v>45684</v>
      </c>
      <c r="B19">
        <v>229.86</v>
      </c>
      <c r="C19">
        <v>397.15</v>
      </c>
      <c r="D19">
        <v>265.85000000000002</v>
      </c>
      <c r="G19">
        <f t="shared" si="0"/>
        <v>-3.5255603122639041E-2</v>
      </c>
      <c r="H19">
        <f t="shared" si="1"/>
        <v>-2.3612750885478101E-3</v>
      </c>
      <c r="I19">
        <f t="shared" si="2"/>
        <v>-4.8289286516431974E-3</v>
      </c>
    </row>
    <row r="20" spans="1:9">
      <c r="A20" s="1">
        <v>45681</v>
      </c>
      <c r="B20">
        <v>222.78</v>
      </c>
      <c r="C20">
        <v>406.58</v>
      </c>
      <c r="D20">
        <v>264.83999999999997</v>
      </c>
      <c r="G20">
        <f t="shared" si="0"/>
        <v>-3.0801357347950978E-2</v>
      </c>
      <c r="H20">
        <f t="shared" si="1"/>
        <v>2.3744177262998885E-2</v>
      </c>
      <c r="I20">
        <f t="shared" si="2"/>
        <v>-3.799134850479773E-3</v>
      </c>
    </row>
    <row r="21" spans="1:9">
      <c r="A21" s="1">
        <v>45680</v>
      </c>
      <c r="B21">
        <v>223.66</v>
      </c>
      <c r="C21">
        <v>412.38</v>
      </c>
      <c r="D21">
        <v>265.95</v>
      </c>
      <c r="G21">
        <f t="shared" si="0"/>
        <v>3.9500852859322899E-3</v>
      </c>
      <c r="H21">
        <f t="shared" si="1"/>
        <v>1.426533523537806E-2</v>
      </c>
      <c r="I21">
        <f t="shared" si="2"/>
        <v>4.1912097870412841E-3</v>
      </c>
    </row>
    <row r="22" spans="1:9">
      <c r="A22" s="1">
        <v>45679</v>
      </c>
      <c r="B22">
        <v>223.83</v>
      </c>
      <c r="C22">
        <v>415.11</v>
      </c>
      <c r="D22">
        <v>262.83999999999997</v>
      </c>
      <c r="G22">
        <f t="shared" si="0"/>
        <v>7.6008226772787235E-4</v>
      </c>
      <c r="H22">
        <f t="shared" si="1"/>
        <v>6.6201076676851893E-3</v>
      </c>
      <c r="I22">
        <f t="shared" si="2"/>
        <v>-1.169392742996809E-2</v>
      </c>
    </row>
    <row r="23" spans="1:9">
      <c r="A23" s="1">
        <v>45678</v>
      </c>
      <c r="B23">
        <v>222.64</v>
      </c>
      <c r="C23">
        <v>424.07</v>
      </c>
      <c r="D23">
        <v>263.02999999999997</v>
      </c>
      <c r="G23">
        <f t="shared" si="0"/>
        <v>-5.3165348702141181E-3</v>
      </c>
      <c r="H23">
        <f t="shared" si="1"/>
        <v>2.1584640215846353E-2</v>
      </c>
      <c r="I23">
        <f t="shared" si="2"/>
        <v>7.2287323086287381E-4</v>
      </c>
    </row>
    <row r="24" spans="1:9">
      <c r="A24" s="1">
        <v>45674</v>
      </c>
      <c r="B24">
        <v>229.98</v>
      </c>
      <c r="C24">
        <v>426.5</v>
      </c>
      <c r="D24">
        <v>259.16000000000003</v>
      </c>
      <c r="G24">
        <f t="shared" si="0"/>
        <v>3.2968020122170337E-2</v>
      </c>
      <c r="H24">
        <f t="shared" si="1"/>
        <v>5.7301860541891835E-3</v>
      </c>
      <c r="I24">
        <f t="shared" si="2"/>
        <v>-1.471315059118712E-2</v>
      </c>
    </row>
    <row r="25" spans="1:9">
      <c r="A25" s="1">
        <v>45673</v>
      </c>
      <c r="B25">
        <v>228.26</v>
      </c>
      <c r="C25">
        <v>413.82</v>
      </c>
      <c r="D25">
        <v>254.27</v>
      </c>
      <c r="G25">
        <f t="shared" si="0"/>
        <v>-7.4789112096704012E-3</v>
      </c>
      <c r="H25">
        <f t="shared" si="1"/>
        <v>-2.9730363423212208E-2</v>
      </c>
      <c r="I25">
        <f t="shared" si="2"/>
        <v>-1.886865256984108E-2</v>
      </c>
    </row>
    <row r="26" spans="1:9">
      <c r="A26" s="1">
        <v>45672</v>
      </c>
      <c r="B26">
        <v>237.87</v>
      </c>
      <c r="C26">
        <v>428.22</v>
      </c>
      <c r="D26">
        <v>252.35</v>
      </c>
      <c r="G26">
        <f t="shared" si="0"/>
        <v>4.2101112766143929E-2</v>
      </c>
      <c r="H26">
        <f t="shared" si="1"/>
        <v>3.4797738147020529E-2</v>
      </c>
      <c r="I26">
        <f t="shared" si="2"/>
        <v>-7.5510284343415102E-3</v>
      </c>
    </row>
    <row r="27" spans="1:9">
      <c r="A27" s="1">
        <v>45671</v>
      </c>
      <c r="B27">
        <v>233.28</v>
      </c>
      <c r="C27">
        <v>396.36</v>
      </c>
      <c r="D27">
        <v>247.47</v>
      </c>
      <c r="G27">
        <f t="shared" si="0"/>
        <v>-1.9296254256526688E-2</v>
      </c>
      <c r="H27">
        <f t="shared" si="1"/>
        <v>-7.4401008827238366E-2</v>
      </c>
      <c r="I27">
        <f t="shared" si="2"/>
        <v>-1.933822072518326E-2</v>
      </c>
    </row>
    <row r="28" spans="1:9">
      <c r="A28" s="1">
        <v>45670</v>
      </c>
      <c r="B28">
        <v>234.4</v>
      </c>
      <c r="C28">
        <v>403.31</v>
      </c>
      <c r="D28">
        <v>244.21</v>
      </c>
      <c r="G28">
        <f t="shared" si="0"/>
        <v>4.8010973936900058E-3</v>
      </c>
      <c r="H28">
        <f t="shared" si="1"/>
        <v>1.7534564537289302E-2</v>
      </c>
      <c r="I28">
        <f t="shared" si="2"/>
        <v>-1.3173313937042836E-2</v>
      </c>
    </row>
    <row r="29" spans="1:9">
      <c r="A29" s="1">
        <v>45667</v>
      </c>
      <c r="B29">
        <v>236.85</v>
      </c>
      <c r="C29">
        <v>394.74</v>
      </c>
      <c r="D29">
        <v>239.87</v>
      </c>
      <c r="G29">
        <f t="shared" si="0"/>
        <v>1.045221843003408E-2</v>
      </c>
      <c r="H29">
        <f t="shared" si="1"/>
        <v>-2.1249163174729101E-2</v>
      </c>
      <c r="I29">
        <f t="shared" si="2"/>
        <v>-1.7771590024978516E-2</v>
      </c>
    </row>
    <row r="30" spans="1:9">
      <c r="A30" s="1">
        <v>45665</v>
      </c>
      <c r="B30">
        <v>242.7</v>
      </c>
      <c r="C30">
        <v>394.94</v>
      </c>
      <c r="D30">
        <v>243.13</v>
      </c>
      <c r="G30">
        <f t="shared" si="0"/>
        <v>2.4699176694110172E-2</v>
      </c>
      <c r="H30">
        <f t="shared" si="1"/>
        <v>5.0666261336573088E-4</v>
      </c>
      <c r="I30">
        <f t="shared" si="2"/>
        <v>1.3590694959769837E-2</v>
      </c>
    </row>
    <row r="31" spans="1:9">
      <c r="A31" s="1">
        <v>45664</v>
      </c>
      <c r="B31">
        <v>242.21</v>
      </c>
      <c r="C31">
        <v>394.36</v>
      </c>
      <c r="D31">
        <v>243.17</v>
      </c>
      <c r="G31">
        <f t="shared" si="0"/>
        <v>-2.0189534404613956E-3</v>
      </c>
      <c r="H31">
        <f t="shared" si="1"/>
        <v>-1.4685775054438246E-3</v>
      </c>
      <c r="I31">
        <f t="shared" si="2"/>
        <v>1.6452103812771785E-4</v>
      </c>
    </row>
    <row r="32" spans="1:9">
      <c r="A32" s="1">
        <v>45663</v>
      </c>
      <c r="B32">
        <v>245</v>
      </c>
      <c r="C32">
        <v>411.05</v>
      </c>
      <c r="D32">
        <v>240.85</v>
      </c>
      <c r="G32">
        <f t="shared" si="0"/>
        <v>1.1518929854258668E-2</v>
      </c>
      <c r="H32">
        <f t="shared" si="1"/>
        <v>4.232173648443046E-2</v>
      </c>
      <c r="I32">
        <f t="shared" si="2"/>
        <v>-9.5406505736727112E-3</v>
      </c>
    </row>
    <row r="33" spans="1:9">
      <c r="A33" s="1">
        <v>45660</v>
      </c>
      <c r="B33">
        <v>243.36</v>
      </c>
      <c r="C33">
        <v>410.44</v>
      </c>
      <c r="D33">
        <v>243.28</v>
      </c>
      <c r="G33">
        <f t="shared" si="0"/>
        <v>-6.6938775510203526E-3</v>
      </c>
      <c r="H33">
        <f t="shared" si="1"/>
        <v>-1.4840043790293484E-3</v>
      </c>
      <c r="I33">
        <f t="shared" si="2"/>
        <v>1.0089267178741984E-2</v>
      </c>
    </row>
    <row r="34" spans="1:9">
      <c r="A34" s="1">
        <v>45659</v>
      </c>
      <c r="B34">
        <v>243.85</v>
      </c>
      <c r="C34">
        <v>379.28</v>
      </c>
      <c r="D34">
        <v>240</v>
      </c>
      <c r="G34">
        <f t="shared" si="0"/>
        <v>2.0134779750163572E-3</v>
      </c>
      <c r="H34">
        <f t="shared" si="1"/>
        <v>-7.5918526459409469E-2</v>
      </c>
      <c r="I34">
        <f t="shared" si="2"/>
        <v>-1.3482407102926674E-2</v>
      </c>
    </row>
    <row r="35" spans="1:9">
      <c r="A35" s="1">
        <v>45657</v>
      </c>
      <c r="B35">
        <v>250.42</v>
      </c>
      <c r="C35">
        <v>403.84</v>
      </c>
      <c r="D35">
        <v>239.71</v>
      </c>
      <c r="G35">
        <f t="shared" ref="G35:G66" si="3">(B35-B34)/B34</f>
        <v>2.6942792700430564E-2</v>
      </c>
      <c r="H35">
        <f t="shared" ref="H35:H66" si="4">(C35-C34)/C34</f>
        <v>6.4754271250790987E-2</v>
      </c>
      <c r="I35">
        <f t="shared" ref="I35:I66" si="5">(D35-D34)/D34</f>
        <v>-1.2083333333333002E-3</v>
      </c>
    </row>
    <row r="36" spans="1:9">
      <c r="A36" s="1">
        <v>45656</v>
      </c>
      <c r="B36">
        <v>252.2</v>
      </c>
      <c r="C36">
        <v>417.41</v>
      </c>
      <c r="D36">
        <v>239.32</v>
      </c>
      <c r="G36">
        <f t="shared" si="3"/>
        <v>7.1080584617842077E-3</v>
      </c>
      <c r="H36">
        <f t="shared" si="4"/>
        <v>3.3602416798732299E-2</v>
      </c>
      <c r="I36">
        <f t="shared" si="5"/>
        <v>-1.626965917149951E-3</v>
      </c>
    </row>
    <row r="37" spans="1:9">
      <c r="A37" s="1">
        <v>45653</v>
      </c>
      <c r="B37">
        <v>255.59</v>
      </c>
      <c r="C37">
        <v>431.66</v>
      </c>
      <c r="D37">
        <v>241.17</v>
      </c>
      <c r="G37">
        <f t="shared" si="3"/>
        <v>1.3441712926249069E-2</v>
      </c>
      <c r="H37">
        <f t="shared" si="4"/>
        <v>3.413909585299825E-2</v>
      </c>
      <c r="I37">
        <f t="shared" si="5"/>
        <v>7.7302356677251983E-3</v>
      </c>
    </row>
    <row r="38" spans="1:9">
      <c r="A38" s="1">
        <v>45652</v>
      </c>
      <c r="B38">
        <v>259.02</v>
      </c>
      <c r="C38">
        <v>454.13</v>
      </c>
      <c r="D38">
        <v>243.14</v>
      </c>
      <c r="G38">
        <f t="shared" si="3"/>
        <v>1.3419930357212638E-2</v>
      </c>
      <c r="H38">
        <f t="shared" si="4"/>
        <v>5.2054857990084719E-2</v>
      </c>
      <c r="I38">
        <f t="shared" si="5"/>
        <v>8.1685118381224827E-3</v>
      </c>
    </row>
    <row r="39" spans="1:9">
      <c r="A39" s="1">
        <v>45650</v>
      </c>
      <c r="B39">
        <v>258.2</v>
      </c>
      <c r="C39">
        <v>462.28</v>
      </c>
      <c r="D39">
        <v>242.31</v>
      </c>
      <c r="G39">
        <f t="shared" si="3"/>
        <v>-3.1657787043471285E-3</v>
      </c>
      <c r="H39">
        <f t="shared" si="4"/>
        <v>1.794640301235324E-2</v>
      </c>
      <c r="I39">
        <f t="shared" si="5"/>
        <v>-3.4136711359709802E-3</v>
      </c>
    </row>
    <row r="40" spans="1:9">
      <c r="A40" s="1">
        <v>45649</v>
      </c>
      <c r="B40">
        <v>255.27</v>
      </c>
      <c r="C40">
        <v>430.6</v>
      </c>
      <c r="D40">
        <v>238.39</v>
      </c>
      <c r="G40">
        <f t="shared" si="3"/>
        <v>-1.1347792408985199E-2</v>
      </c>
      <c r="H40">
        <f t="shared" si="4"/>
        <v>-6.8529895301548738E-2</v>
      </c>
      <c r="I40">
        <f t="shared" si="5"/>
        <v>-1.6177623705171128E-2</v>
      </c>
    </row>
    <row r="41" spans="1:9">
      <c r="A41" s="1">
        <v>45646</v>
      </c>
      <c r="B41">
        <v>254.49</v>
      </c>
      <c r="C41">
        <v>421.06</v>
      </c>
      <c r="D41">
        <v>237.6</v>
      </c>
      <c r="G41">
        <f t="shared" si="3"/>
        <v>-3.0555882007286448E-3</v>
      </c>
      <c r="H41">
        <f t="shared" si="4"/>
        <v>-2.2155132373432466E-2</v>
      </c>
      <c r="I41">
        <f t="shared" si="5"/>
        <v>-3.3138973950249261E-3</v>
      </c>
    </row>
    <row r="42" spans="1:9">
      <c r="A42" s="1">
        <v>45645</v>
      </c>
      <c r="B42">
        <v>249.79</v>
      </c>
      <c r="C42">
        <v>436.17</v>
      </c>
      <c r="D42">
        <v>232.96</v>
      </c>
      <c r="G42">
        <f t="shared" si="3"/>
        <v>-1.8468309167354383E-2</v>
      </c>
      <c r="H42">
        <f t="shared" si="4"/>
        <v>3.5885622001615006E-2</v>
      </c>
      <c r="I42">
        <f t="shared" si="5"/>
        <v>-1.9528619528619472E-2</v>
      </c>
    </row>
    <row r="43" spans="1:9">
      <c r="A43" s="1">
        <v>45644</v>
      </c>
      <c r="B43">
        <v>248.05</v>
      </c>
      <c r="C43">
        <v>440.13</v>
      </c>
      <c r="D43">
        <v>230.37</v>
      </c>
      <c r="G43">
        <f t="shared" si="3"/>
        <v>-6.9658513151046111E-3</v>
      </c>
      <c r="H43">
        <f t="shared" si="4"/>
        <v>9.0790288190384007E-3</v>
      </c>
      <c r="I43">
        <f t="shared" si="5"/>
        <v>-1.1117788461538476E-2</v>
      </c>
    </row>
    <row r="44" spans="1:9">
      <c r="A44" s="1">
        <v>45643</v>
      </c>
      <c r="B44">
        <v>253.48</v>
      </c>
      <c r="C44">
        <v>479.86</v>
      </c>
      <c r="D44">
        <v>238.36</v>
      </c>
      <c r="G44">
        <f t="shared" si="3"/>
        <v>2.1890747833098079E-2</v>
      </c>
      <c r="H44">
        <f t="shared" si="4"/>
        <v>9.026878422284329E-2</v>
      </c>
      <c r="I44">
        <f t="shared" si="5"/>
        <v>3.4683335503754867E-2</v>
      </c>
    </row>
    <row r="45" spans="1:9">
      <c r="A45" s="1">
        <v>45642</v>
      </c>
      <c r="B45">
        <v>251.04</v>
      </c>
      <c r="C45">
        <v>463.02</v>
      </c>
      <c r="D45">
        <v>239.58</v>
      </c>
      <c r="G45">
        <f t="shared" si="3"/>
        <v>-9.6260059965283164E-3</v>
      </c>
      <c r="H45">
        <f t="shared" si="4"/>
        <v>-3.5093568957612703E-2</v>
      </c>
      <c r="I45">
        <f t="shared" si="5"/>
        <v>5.1183084410135879E-3</v>
      </c>
    </row>
    <row r="46" spans="1:9">
      <c r="A46" s="1">
        <v>45639</v>
      </c>
      <c r="B46">
        <v>248.13</v>
      </c>
      <c r="C46">
        <v>436.23</v>
      </c>
      <c r="D46">
        <v>239.94</v>
      </c>
      <c r="G46">
        <f t="shared" si="3"/>
        <v>-1.1591778202676851E-2</v>
      </c>
      <c r="H46">
        <f t="shared" si="4"/>
        <v>-5.7859271737721839E-2</v>
      </c>
      <c r="I46">
        <f t="shared" si="5"/>
        <v>1.5026296018030938E-3</v>
      </c>
    </row>
    <row r="47" spans="1:9">
      <c r="A47" s="1">
        <v>45638</v>
      </c>
      <c r="B47">
        <v>247.96</v>
      </c>
      <c r="C47">
        <v>418.1</v>
      </c>
      <c r="D47">
        <v>241.53</v>
      </c>
      <c r="G47">
        <f t="shared" si="3"/>
        <v>-6.8512473300281096E-4</v>
      </c>
      <c r="H47">
        <f t="shared" si="4"/>
        <v>-4.1560644614079718E-2</v>
      </c>
      <c r="I47">
        <f t="shared" si="5"/>
        <v>6.6266566641660562E-3</v>
      </c>
    </row>
    <row r="48" spans="1:9">
      <c r="A48" s="1">
        <v>45637</v>
      </c>
      <c r="B48">
        <v>246.49</v>
      </c>
      <c r="C48">
        <v>424.77</v>
      </c>
      <c r="D48">
        <v>243.53</v>
      </c>
      <c r="G48">
        <f t="shared" si="3"/>
        <v>-5.9283755444426468E-3</v>
      </c>
      <c r="H48">
        <f t="shared" si="4"/>
        <v>1.5953121262855679E-2</v>
      </c>
      <c r="I48">
        <f t="shared" si="5"/>
        <v>8.2805448598517774E-3</v>
      </c>
    </row>
    <row r="49" spans="1:9">
      <c r="A49" s="1">
        <v>45636</v>
      </c>
      <c r="B49">
        <v>247.77</v>
      </c>
      <c r="C49">
        <v>400.99</v>
      </c>
      <c r="D49">
        <v>242.86</v>
      </c>
      <c r="G49">
        <f t="shared" si="3"/>
        <v>5.192908434419251E-3</v>
      </c>
      <c r="H49">
        <f t="shared" si="4"/>
        <v>-5.5983237987616764E-2</v>
      </c>
      <c r="I49">
        <f t="shared" si="5"/>
        <v>-2.7512010840553013E-3</v>
      </c>
    </row>
    <row r="50" spans="1:9">
      <c r="A50" s="1">
        <v>45635</v>
      </c>
      <c r="B50">
        <v>246.75</v>
      </c>
      <c r="C50">
        <v>389.79</v>
      </c>
      <c r="D50">
        <v>243.81</v>
      </c>
      <c r="G50">
        <f t="shared" si="3"/>
        <v>-4.1167211526819637E-3</v>
      </c>
      <c r="H50">
        <f t="shared" si="4"/>
        <v>-2.7930871094042218E-2</v>
      </c>
      <c r="I50">
        <f t="shared" si="5"/>
        <v>3.9117186856624745E-3</v>
      </c>
    </row>
    <row r="51" spans="1:9">
      <c r="A51" s="1">
        <v>45632</v>
      </c>
      <c r="B51">
        <v>242.84</v>
      </c>
      <c r="C51">
        <v>389.22</v>
      </c>
      <c r="D51">
        <v>247.36</v>
      </c>
      <c r="G51">
        <f t="shared" si="3"/>
        <v>-1.5845997973657534E-2</v>
      </c>
      <c r="H51">
        <f t="shared" si="4"/>
        <v>-1.4623258677749383E-3</v>
      </c>
      <c r="I51">
        <f t="shared" si="5"/>
        <v>1.4560518436487476E-2</v>
      </c>
    </row>
    <row r="52" spans="1:9">
      <c r="A52" s="1">
        <v>45631</v>
      </c>
      <c r="B52">
        <v>243.04</v>
      </c>
      <c r="C52">
        <v>369.49</v>
      </c>
      <c r="D52">
        <v>245.48</v>
      </c>
      <c r="G52">
        <f t="shared" si="3"/>
        <v>8.2358754735623713E-4</v>
      </c>
      <c r="H52">
        <f t="shared" si="4"/>
        <v>-5.0691125841426488E-2</v>
      </c>
      <c r="I52">
        <f t="shared" si="5"/>
        <v>-7.6002587322122565E-3</v>
      </c>
    </row>
    <row r="53" spans="1:9">
      <c r="A53" s="1">
        <v>45630</v>
      </c>
      <c r="B53">
        <v>243.01</v>
      </c>
      <c r="C53">
        <v>357.93</v>
      </c>
      <c r="D53">
        <v>243.4</v>
      </c>
      <c r="G53">
        <f t="shared" si="3"/>
        <v>-1.2343647136274331E-4</v>
      </c>
      <c r="H53">
        <f t="shared" si="4"/>
        <v>-3.128636769601343E-2</v>
      </c>
      <c r="I53">
        <f t="shared" si="5"/>
        <v>-8.4731953723316943E-3</v>
      </c>
    </row>
    <row r="54" spans="1:9">
      <c r="A54" s="1">
        <v>45629</v>
      </c>
      <c r="B54">
        <v>242.65</v>
      </c>
      <c r="C54">
        <v>351.42</v>
      </c>
      <c r="D54">
        <v>244.82</v>
      </c>
      <c r="G54">
        <f t="shared" si="3"/>
        <v>-1.4814205176741091E-3</v>
      </c>
      <c r="H54">
        <f t="shared" si="4"/>
        <v>-1.8187913837901241E-2</v>
      </c>
      <c r="I54">
        <f t="shared" si="5"/>
        <v>5.8340180772390613E-3</v>
      </c>
    </row>
    <row r="55" spans="1:9">
      <c r="A55" s="1">
        <v>45628</v>
      </c>
      <c r="B55">
        <v>239.59</v>
      </c>
      <c r="C55">
        <v>357.09</v>
      </c>
      <c r="D55">
        <v>246.25</v>
      </c>
      <c r="G55">
        <f t="shared" si="3"/>
        <v>-1.2610756233257787E-2</v>
      </c>
      <c r="H55">
        <f t="shared" si="4"/>
        <v>1.6134539866825903E-2</v>
      </c>
      <c r="I55">
        <f t="shared" si="5"/>
        <v>5.8410260599624491E-3</v>
      </c>
    </row>
    <row r="56" spans="1:9">
      <c r="A56" s="1">
        <v>45625</v>
      </c>
      <c r="B56">
        <v>237.33</v>
      </c>
      <c r="C56">
        <v>345.16</v>
      </c>
      <c r="D56">
        <v>249.72</v>
      </c>
      <c r="G56">
        <f t="shared" si="3"/>
        <v>-9.4327810008764598E-3</v>
      </c>
      <c r="H56">
        <f t="shared" si="4"/>
        <v>-3.3408944523789383E-2</v>
      </c>
      <c r="I56">
        <f t="shared" si="5"/>
        <v>1.4091370558375629E-2</v>
      </c>
    </row>
    <row r="57" spans="1:9">
      <c r="A57" s="1">
        <v>45623</v>
      </c>
      <c r="B57">
        <v>234.93</v>
      </c>
      <c r="C57">
        <v>332.89</v>
      </c>
      <c r="D57">
        <v>249.79</v>
      </c>
      <c r="G57">
        <f t="shared" si="3"/>
        <v>-1.0112501580078394E-2</v>
      </c>
      <c r="H57">
        <f t="shared" si="4"/>
        <v>-3.5548731023293652E-2</v>
      </c>
      <c r="I57">
        <f t="shared" si="5"/>
        <v>2.803139516257936E-4</v>
      </c>
    </row>
    <row r="58" spans="1:9">
      <c r="A58" s="1">
        <v>45622</v>
      </c>
      <c r="B58">
        <v>235.06</v>
      </c>
      <c r="C58">
        <v>338.23</v>
      </c>
      <c r="D58">
        <v>249.97</v>
      </c>
      <c r="G58">
        <f t="shared" si="3"/>
        <v>5.5335631890348377E-4</v>
      </c>
      <c r="H58">
        <f t="shared" si="4"/>
        <v>1.6041334975517536E-2</v>
      </c>
      <c r="I58">
        <f t="shared" si="5"/>
        <v>7.2060530845913294E-4</v>
      </c>
    </row>
    <row r="59" spans="1:9">
      <c r="A59" s="1">
        <v>45621</v>
      </c>
      <c r="B59">
        <v>232.87</v>
      </c>
      <c r="C59">
        <v>338.59</v>
      </c>
      <c r="D59">
        <v>250.29</v>
      </c>
      <c r="G59">
        <f t="shared" si="3"/>
        <v>-9.3167701863353936E-3</v>
      </c>
      <c r="H59">
        <f t="shared" si="4"/>
        <v>1.0643644857048658E-3</v>
      </c>
      <c r="I59">
        <f t="shared" si="5"/>
        <v>1.2801536184341847E-3</v>
      </c>
    </row>
    <row r="60" spans="1:9">
      <c r="A60" s="1">
        <v>45618</v>
      </c>
      <c r="B60">
        <v>229.87</v>
      </c>
      <c r="C60">
        <v>352.56</v>
      </c>
      <c r="D60">
        <v>248.55</v>
      </c>
      <c r="G60">
        <f t="shared" si="3"/>
        <v>-1.2882724266758277E-2</v>
      </c>
      <c r="H60">
        <f t="shared" si="4"/>
        <v>4.1259340204967743E-2</v>
      </c>
      <c r="I60">
        <f t="shared" si="5"/>
        <v>-6.9519357545246739E-3</v>
      </c>
    </row>
    <row r="61" spans="1:9">
      <c r="A61" s="1">
        <v>45617</v>
      </c>
      <c r="B61">
        <v>228.52</v>
      </c>
      <c r="C61">
        <v>339.64</v>
      </c>
      <c r="D61">
        <v>244.76</v>
      </c>
      <c r="G61">
        <f t="shared" si="3"/>
        <v>-5.8728846739461186E-3</v>
      </c>
      <c r="H61">
        <f t="shared" si="4"/>
        <v>-3.6646244610846423E-2</v>
      </c>
      <c r="I61">
        <f t="shared" si="5"/>
        <v>-1.5248440957553894E-2</v>
      </c>
    </row>
    <row r="62" spans="1:9">
      <c r="A62" s="1">
        <v>45616</v>
      </c>
      <c r="B62">
        <v>229</v>
      </c>
      <c r="C62">
        <v>342.03</v>
      </c>
      <c r="D62">
        <v>240.78</v>
      </c>
      <c r="G62">
        <f t="shared" si="3"/>
        <v>2.1004726063363808E-3</v>
      </c>
      <c r="H62">
        <f t="shared" si="4"/>
        <v>7.0368625603579862E-3</v>
      </c>
      <c r="I62">
        <f t="shared" si="5"/>
        <v>-1.626082693250527E-2</v>
      </c>
    </row>
    <row r="63" spans="1:9">
      <c r="A63" s="1">
        <v>45615</v>
      </c>
      <c r="B63">
        <v>228.28</v>
      </c>
      <c r="C63">
        <v>346</v>
      </c>
      <c r="D63">
        <v>243.09</v>
      </c>
      <c r="G63">
        <f t="shared" si="3"/>
        <v>-3.144104803493445E-3</v>
      </c>
      <c r="H63">
        <f t="shared" si="4"/>
        <v>1.1607168961787059E-2</v>
      </c>
      <c r="I63">
        <f t="shared" si="5"/>
        <v>9.5938200847246538E-3</v>
      </c>
    </row>
    <row r="64" spans="1:9">
      <c r="A64" s="1">
        <v>45614</v>
      </c>
      <c r="B64">
        <v>228.02</v>
      </c>
      <c r="C64">
        <v>338.74</v>
      </c>
      <c r="D64">
        <v>245.03</v>
      </c>
      <c r="G64">
        <f t="shared" si="3"/>
        <v>-1.1389521640090717E-3</v>
      </c>
      <c r="H64">
        <f t="shared" si="4"/>
        <v>-2.0982658959537544E-2</v>
      </c>
      <c r="I64">
        <f t="shared" si="5"/>
        <v>7.9805833230490678E-3</v>
      </c>
    </row>
    <row r="65" spans="1:9">
      <c r="A65" s="1">
        <v>45611</v>
      </c>
      <c r="B65">
        <v>225</v>
      </c>
      <c r="C65">
        <v>320.72000000000003</v>
      </c>
      <c r="D65">
        <v>245.31</v>
      </c>
      <c r="G65">
        <f t="shared" si="3"/>
        <v>-1.3244452241031534E-2</v>
      </c>
      <c r="H65">
        <f t="shared" si="4"/>
        <v>-5.3197142351065659E-2</v>
      </c>
      <c r="I65">
        <f t="shared" si="5"/>
        <v>1.1427172182998046E-3</v>
      </c>
    </row>
    <row r="66" spans="1:9">
      <c r="A66" s="1">
        <v>45610</v>
      </c>
      <c r="B66">
        <v>228.22</v>
      </c>
      <c r="C66">
        <v>311.18</v>
      </c>
      <c r="D66">
        <v>241.87</v>
      </c>
      <c r="G66">
        <f t="shared" si="3"/>
        <v>1.4311111111111106E-2</v>
      </c>
      <c r="H66">
        <f t="shared" si="4"/>
        <v>-2.9745572461960652E-2</v>
      </c>
      <c r="I66">
        <f t="shared" si="5"/>
        <v>-1.4023072846602249E-2</v>
      </c>
    </row>
    <row r="67" spans="1:9">
      <c r="A67" s="1">
        <v>45609</v>
      </c>
      <c r="B67">
        <v>225.12</v>
      </c>
      <c r="C67">
        <v>330.24</v>
      </c>
      <c r="D67">
        <v>241.16</v>
      </c>
      <c r="G67">
        <f t="shared" ref="G67:G98" si="6">(B67-B66)/B66</f>
        <v>-1.3583384453597381E-2</v>
      </c>
      <c r="H67">
        <f t="shared" ref="H67:H98" si="7">(C67-C66)/C66</f>
        <v>6.1250723054180868E-2</v>
      </c>
      <c r="I67">
        <f t="shared" ref="I67:I98" si="8">(D67-D66)/D66</f>
        <v>-2.935461198164336E-3</v>
      </c>
    </row>
    <row r="68" spans="1:9">
      <c r="A68" s="1">
        <v>45608</v>
      </c>
      <c r="B68">
        <v>224.23</v>
      </c>
      <c r="C68">
        <v>328.49</v>
      </c>
      <c r="D68">
        <v>239.56</v>
      </c>
      <c r="G68">
        <f t="shared" si="6"/>
        <v>-3.9534470504620414E-3</v>
      </c>
      <c r="H68">
        <f t="shared" si="7"/>
        <v>-5.2991763565891472E-3</v>
      </c>
      <c r="I68">
        <f t="shared" si="8"/>
        <v>-6.6345994360590245E-3</v>
      </c>
    </row>
    <row r="69" spans="1:9">
      <c r="A69" s="1">
        <v>45607</v>
      </c>
      <c r="B69">
        <v>224.23</v>
      </c>
      <c r="C69">
        <v>350</v>
      </c>
      <c r="D69">
        <v>239.29</v>
      </c>
      <c r="G69">
        <f t="shared" si="6"/>
        <v>0</v>
      </c>
      <c r="H69">
        <f t="shared" si="7"/>
        <v>6.5481445401686475E-2</v>
      </c>
      <c r="I69">
        <f t="shared" si="8"/>
        <v>-1.1270662881950669E-3</v>
      </c>
    </row>
    <row r="70" spans="1:9">
      <c r="A70" s="1">
        <v>45604</v>
      </c>
      <c r="B70">
        <v>226.96</v>
      </c>
      <c r="C70">
        <v>321.22000000000003</v>
      </c>
      <c r="D70">
        <v>236.98</v>
      </c>
      <c r="G70">
        <f t="shared" si="6"/>
        <v>1.2174998885073444E-2</v>
      </c>
      <c r="H70">
        <f t="shared" si="7"/>
        <v>-8.2228571428571345E-2</v>
      </c>
      <c r="I70">
        <f t="shared" si="8"/>
        <v>-9.6535584437293757E-3</v>
      </c>
    </row>
    <row r="71" spans="1:9">
      <c r="A71" s="1">
        <v>45603</v>
      </c>
      <c r="B71">
        <v>227.48</v>
      </c>
      <c r="C71">
        <v>296.91000000000003</v>
      </c>
      <c r="D71">
        <v>236.38</v>
      </c>
      <c r="G71">
        <f t="shared" si="6"/>
        <v>2.2911526260133144E-3</v>
      </c>
      <c r="H71">
        <f t="shared" si="7"/>
        <v>-7.5680219164435583E-2</v>
      </c>
      <c r="I71">
        <f t="shared" si="8"/>
        <v>-2.5318592286268644E-3</v>
      </c>
    </row>
    <row r="72" spans="1:9">
      <c r="A72" s="1">
        <v>45602</v>
      </c>
      <c r="B72">
        <v>222.72</v>
      </c>
      <c r="C72">
        <v>288.52999999999997</v>
      </c>
      <c r="D72">
        <v>247.06</v>
      </c>
      <c r="G72">
        <f t="shared" si="6"/>
        <v>-2.0924916476173689E-2</v>
      </c>
      <c r="H72">
        <f t="shared" si="7"/>
        <v>-2.8224040955171774E-2</v>
      </c>
      <c r="I72">
        <f t="shared" si="8"/>
        <v>4.5181487435485265E-2</v>
      </c>
    </row>
    <row r="73" spans="1:9">
      <c r="A73" s="1">
        <v>45601</v>
      </c>
      <c r="B73">
        <v>223.45</v>
      </c>
      <c r="C73">
        <v>251.44</v>
      </c>
      <c r="D73">
        <v>221.49</v>
      </c>
      <c r="G73">
        <f t="shared" si="6"/>
        <v>3.2776580459769654E-3</v>
      </c>
      <c r="H73">
        <f t="shared" si="7"/>
        <v>-0.1285481579038574</v>
      </c>
      <c r="I73">
        <f t="shared" si="8"/>
        <v>-0.10349712620416091</v>
      </c>
    </row>
    <row r="74" spans="1:9">
      <c r="A74" s="1">
        <v>45600</v>
      </c>
      <c r="B74">
        <v>222.01</v>
      </c>
      <c r="C74">
        <v>242.84</v>
      </c>
      <c r="D74">
        <v>219.78</v>
      </c>
      <c r="G74">
        <f t="shared" si="6"/>
        <v>-6.4443947191765395E-3</v>
      </c>
      <c r="H74">
        <f t="shared" si="7"/>
        <v>-3.4202990773146653E-2</v>
      </c>
      <c r="I74">
        <f t="shared" si="8"/>
        <v>-7.720438845997598E-3</v>
      </c>
    </row>
    <row r="75" spans="1:9">
      <c r="A75" s="1">
        <v>45597</v>
      </c>
      <c r="B75">
        <v>222.91</v>
      </c>
      <c r="C75">
        <v>248.98</v>
      </c>
      <c r="D75">
        <v>222.94</v>
      </c>
      <c r="G75">
        <f t="shared" si="6"/>
        <v>4.0538714472321321E-3</v>
      </c>
      <c r="H75">
        <f t="shared" si="7"/>
        <v>2.5284137703837861E-2</v>
      </c>
      <c r="I75">
        <f t="shared" si="8"/>
        <v>1.4378014378014363E-2</v>
      </c>
    </row>
    <row r="76" spans="1:9">
      <c r="A76" s="1">
        <v>45596</v>
      </c>
      <c r="B76">
        <v>225.91</v>
      </c>
      <c r="C76">
        <v>249.85</v>
      </c>
      <c r="D76">
        <v>221.92</v>
      </c>
      <c r="G76">
        <f t="shared" si="6"/>
        <v>1.3458346417836796E-2</v>
      </c>
      <c r="H76">
        <f t="shared" si="7"/>
        <v>3.494256566792532E-3</v>
      </c>
      <c r="I76">
        <f t="shared" si="8"/>
        <v>-4.5752220328339919E-3</v>
      </c>
    </row>
    <row r="77" spans="1:9">
      <c r="A77" s="1">
        <v>45595</v>
      </c>
      <c r="B77">
        <v>230.1</v>
      </c>
      <c r="C77">
        <v>257.55</v>
      </c>
      <c r="D77">
        <v>224.41</v>
      </c>
      <c r="G77">
        <f t="shared" si="6"/>
        <v>1.8547209065557072E-2</v>
      </c>
      <c r="H77">
        <f t="shared" si="7"/>
        <v>3.0818491094656862E-2</v>
      </c>
      <c r="I77">
        <f t="shared" si="8"/>
        <v>1.122025955299211E-2</v>
      </c>
    </row>
    <row r="78" spans="1:9">
      <c r="A78" s="1">
        <v>45594</v>
      </c>
      <c r="B78">
        <v>233.67</v>
      </c>
      <c r="C78">
        <v>259.52</v>
      </c>
      <c r="D78">
        <v>222.9</v>
      </c>
      <c r="G78">
        <f t="shared" si="6"/>
        <v>1.5514993481095148E-2</v>
      </c>
      <c r="H78">
        <f t="shared" si="7"/>
        <v>7.6490001941369457E-3</v>
      </c>
      <c r="I78">
        <f t="shared" si="8"/>
        <v>-6.7287554030568643E-3</v>
      </c>
    </row>
    <row r="79" spans="1:9">
      <c r="A79" s="1">
        <v>45593</v>
      </c>
      <c r="B79">
        <v>233.4</v>
      </c>
      <c r="C79">
        <v>262.51</v>
      </c>
      <c r="D79">
        <v>225.5</v>
      </c>
      <c r="G79">
        <f t="shared" si="6"/>
        <v>-1.1554756708177423E-3</v>
      </c>
      <c r="H79">
        <f t="shared" si="7"/>
        <v>1.1521270036991405E-2</v>
      </c>
      <c r="I79">
        <f t="shared" si="8"/>
        <v>1.1664423508299659E-2</v>
      </c>
    </row>
    <row r="80" spans="1:9">
      <c r="A80" s="1">
        <v>45590</v>
      </c>
      <c r="B80">
        <v>231.41</v>
      </c>
      <c r="C80">
        <v>269.19</v>
      </c>
      <c r="D80">
        <v>222.31</v>
      </c>
      <c r="G80">
        <f t="shared" si="6"/>
        <v>-8.5261353898886429E-3</v>
      </c>
      <c r="H80">
        <f t="shared" si="7"/>
        <v>2.5446649651441878E-2</v>
      </c>
      <c r="I80">
        <f t="shared" si="8"/>
        <v>-1.4146341463414624E-2</v>
      </c>
    </row>
    <row r="81" spans="1:9">
      <c r="A81" s="1">
        <v>45589</v>
      </c>
      <c r="B81">
        <v>230.57</v>
      </c>
      <c r="C81">
        <v>260.48</v>
      </c>
      <c r="D81">
        <v>224.98</v>
      </c>
      <c r="G81">
        <f t="shared" si="6"/>
        <v>-3.6299209195799812E-3</v>
      </c>
      <c r="H81">
        <f t="shared" si="7"/>
        <v>-3.2356328243991157E-2</v>
      </c>
      <c r="I81">
        <f t="shared" si="8"/>
        <v>1.2010255948900128E-2</v>
      </c>
    </row>
    <row r="82" spans="1:9">
      <c r="A82" s="1">
        <v>45588</v>
      </c>
      <c r="B82">
        <v>230.76</v>
      </c>
      <c r="C82">
        <v>213.65</v>
      </c>
      <c r="D82">
        <v>223.41</v>
      </c>
      <c r="G82">
        <f t="shared" si="6"/>
        <v>8.2404475864161742E-4</v>
      </c>
      <c r="H82">
        <f t="shared" si="7"/>
        <v>-0.17978347665847669</v>
      </c>
      <c r="I82">
        <f t="shared" si="8"/>
        <v>-6.9783980798292884E-3</v>
      </c>
    </row>
    <row r="83" spans="1:9">
      <c r="A83" s="1">
        <v>45587</v>
      </c>
      <c r="B83">
        <v>235.86</v>
      </c>
      <c r="C83">
        <v>217.97</v>
      </c>
      <c r="D83">
        <v>224.12</v>
      </c>
      <c r="G83">
        <f t="shared" si="6"/>
        <v>2.2100884035361514E-2</v>
      </c>
      <c r="H83">
        <f t="shared" si="7"/>
        <v>2.0219985958343054E-2</v>
      </c>
      <c r="I83">
        <f t="shared" si="8"/>
        <v>3.1780135177476745E-3</v>
      </c>
    </row>
    <row r="84" spans="1:9">
      <c r="A84" s="1">
        <v>45586</v>
      </c>
      <c r="B84">
        <v>236.48</v>
      </c>
      <c r="C84">
        <v>218.85</v>
      </c>
      <c r="D84">
        <v>223</v>
      </c>
      <c r="G84">
        <f t="shared" si="6"/>
        <v>2.6286780293393371E-3</v>
      </c>
      <c r="H84">
        <f t="shared" si="7"/>
        <v>4.0372528329586429E-3</v>
      </c>
      <c r="I84">
        <f t="shared" si="8"/>
        <v>-4.9973228627521174E-3</v>
      </c>
    </row>
    <row r="85" spans="1:9">
      <c r="A85" s="1">
        <v>45583</v>
      </c>
      <c r="B85">
        <v>235</v>
      </c>
      <c r="C85">
        <v>220.7</v>
      </c>
      <c r="D85">
        <v>225.37</v>
      </c>
      <c r="G85">
        <f t="shared" si="6"/>
        <v>-6.2584573748308099E-3</v>
      </c>
      <c r="H85">
        <f t="shared" si="7"/>
        <v>8.4532785012565431E-3</v>
      </c>
      <c r="I85">
        <f t="shared" si="8"/>
        <v>1.062780269058298E-2</v>
      </c>
    </row>
    <row r="86" spans="1:9">
      <c r="A86" s="1">
        <v>45582</v>
      </c>
      <c r="B86">
        <v>232.15</v>
      </c>
      <c r="C86">
        <v>220.89</v>
      </c>
      <c r="D86">
        <v>224.42</v>
      </c>
      <c r="G86">
        <f t="shared" si="6"/>
        <v>-1.2127659574468061E-2</v>
      </c>
      <c r="H86">
        <f t="shared" si="7"/>
        <v>8.6089714544629694E-4</v>
      </c>
      <c r="I86">
        <f t="shared" si="8"/>
        <v>-4.2152904113236765E-3</v>
      </c>
    </row>
    <row r="87" spans="1:9">
      <c r="A87" s="1">
        <v>45581</v>
      </c>
      <c r="B87">
        <v>231.78</v>
      </c>
      <c r="C87">
        <v>221.33</v>
      </c>
      <c r="D87">
        <v>223.64</v>
      </c>
      <c r="G87">
        <f t="shared" si="6"/>
        <v>-1.5937971139349755E-3</v>
      </c>
      <c r="H87">
        <f t="shared" si="7"/>
        <v>1.9919416904342711E-3</v>
      </c>
      <c r="I87">
        <f t="shared" si="8"/>
        <v>-3.4756260582835805E-3</v>
      </c>
    </row>
    <row r="88" spans="1:9">
      <c r="A88" s="1">
        <v>45580</v>
      </c>
      <c r="B88">
        <v>233.85</v>
      </c>
      <c r="C88">
        <v>219.57</v>
      </c>
      <c r="D88">
        <v>222.39</v>
      </c>
      <c r="G88">
        <f t="shared" si="6"/>
        <v>8.9308827336266848E-3</v>
      </c>
      <c r="H88">
        <f t="shared" si="7"/>
        <v>-7.9519269868522993E-3</v>
      </c>
      <c r="I88">
        <f t="shared" si="8"/>
        <v>-5.5893400107315328E-3</v>
      </c>
    </row>
    <row r="89" spans="1:9">
      <c r="A89" s="1">
        <v>45579</v>
      </c>
      <c r="B89">
        <v>231.3</v>
      </c>
      <c r="C89">
        <v>219.16</v>
      </c>
      <c r="D89">
        <v>221.48</v>
      </c>
      <c r="G89">
        <f t="shared" si="6"/>
        <v>-1.0904425914047394E-2</v>
      </c>
      <c r="H89">
        <f t="shared" si="7"/>
        <v>-1.8672860591155286E-3</v>
      </c>
      <c r="I89">
        <f t="shared" si="8"/>
        <v>-4.0919106074913288E-3</v>
      </c>
    </row>
    <row r="90" spans="1:9">
      <c r="A90" s="1">
        <v>45576</v>
      </c>
      <c r="B90">
        <v>227.55</v>
      </c>
      <c r="C90">
        <v>217.8</v>
      </c>
      <c r="D90">
        <v>222.29</v>
      </c>
      <c r="G90">
        <f t="shared" si="6"/>
        <v>-1.6212710765239946E-2</v>
      </c>
      <c r="H90">
        <f t="shared" si="7"/>
        <v>-6.2055119547361984E-3</v>
      </c>
      <c r="I90">
        <f t="shared" si="8"/>
        <v>3.6572150984287627E-3</v>
      </c>
    </row>
    <row r="91" spans="1:9">
      <c r="A91" s="1">
        <v>45575</v>
      </c>
      <c r="B91">
        <v>229.04</v>
      </c>
      <c r="C91">
        <v>238.77</v>
      </c>
      <c r="D91">
        <v>212.84</v>
      </c>
      <c r="G91">
        <f t="shared" si="6"/>
        <v>6.5480114260601215E-3</v>
      </c>
      <c r="H91">
        <f t="shared" si="7"/>
        <v>9.6280991735537183E-2</v>
      </c>
      <c r="I91">
        <f t="shared" si="8"/>
        <v>-4.2512033829681897E-2</v>
      </c>
    </row>
    <row r="92" spans="1:9">
      <c r="A92" s="1">
        <v>45574</v>
      </c>
      <c r="B92">
        <v>229.54</v>
      </c>
      <c r="C92">
        <v>241.05</v>
      </c>
      <c r="D92">
        <v>213.42</v>
      </c>
      <c r="G92">
        <f t="shared" si="6"/>
        <v>2.1830247991617186E-3</v>
      </c>
      <c r="H92">
        <f t="shared" si="7"/>
        <v>9.5489383088327717E-3</v>
      </c>
      <c r="I92">
        <f t="shared" si="8"/>
        <v>2.7250516820145842E-3</v>
      </c>
    </row>
    <row r="93" spans="1:9">
      <c r="A93" s="1">
        <v>45573</v>
      </c>
      <c r="B93">
        <v>225.77</v>
      </c>
      <c r="C93">
        <v>244.5</v>
      </c>
      <c r="D93">
        <v>210.75</v>
      </c>
      <c r="G93">
        <f t="shared" si="6"/>
        <v>-1.6424152653132271E-2</v>
      </c>
      <c r="H93">
        <f t="shared" si="7"/>
        <v>1.4312383322961994E-2</v>
      </c>
      <c r="I93">
        <f t="shared" si="8"/>
        <v>-1.2510542592071914E-2</v>
      </c>
    </row>
    <row r="94" spans="1:9">
      <c r="A94" s="1">
        <v>45572</v>
      </c>
      <c r="B94">
        <v>221.69</v>
      </c>
      <c r="C94">
        <v>240.83</v>
      </c>
      <c r="D94">
        <v>210.93</v>
      </c>
      <c r="G94">
        <f t="shared" si="6"/>
        <v>-1.8071488683173195E-2</v>
      </c>
      <c r="H94">
        <f t="shared" si="7"/>
        <v>-1.5010224948875205E-2</v>
      </c>
      <c r="I94">
        <f t="shared" si="8"/>
        <v>8.5409252669042379E-4</v>
      </c>
    </row>
    <row r="95" spans="1:9">
      <c r="A95" s="1">
        <v>45569</v>
      </c>
      <c r="B95">
        <v>226.8</v>
      </c>
      <c r="C95">
        <v>250.08</v>
      </c>
      <c r="D95">
        <v>211.22</v>
      </c>
      <c r="G95">
        <f t="shared" si="6"/>
        <v>2.3050205241553583E-2</v>
      </c>
      <c r="H95">
        <f t="shared" si="7"/>
        <v>3.8408836108458244E-2</v>
      </c>
      <c r="I95">
        <f t="shared" si="8"/>
        <v>1.374863698857403E-3</v>
      </c>
    </row>
    <row r="96" spans="1:9">
      <c r="A96" s="1">
        <v>45568</v>
      </c>
      <c r="B96">
        <v>225.67</v>
      </c>
      <c r="C96">
        <v>240.66</v>
      </c>
      <c r="D96">
        <v>205.23</v>
      </c>
      <c r="G96">
        <f t="shared" si="6"/>
        <v>-4.9823633156967544E-3</v>
      </c>
      <c r="H96">
        <f t="shared" si="7"/>
        <v>-3.7667946257197757E-2</v>
      </c>
      <c r="I96">
        <f t="shared" si="8"/>
        <v>-2.8359056907489865E-2</v>
      </c>
    </row>
    <row r="97" spans="1:9">
      <c r="A97" s="1">
        <v>45567</v>
      </c>
      <c r="B97">
        <v>226.78</v>
      </c>
      <c r="C97">
        <v>249.02</v>
      </c>
      <c r="D97">
        <v>207.29</v>
      </c>
      <c r="G97">
        <f t="shared" si="6"/>
        <v>4.9186865777463276E-3</v>
      </c>
      <c r="H97">
        <f t="shared" si="7"/>
        <v>3.4737804371312284E-2</v>
      </c>
      <c r="I97">
        <f t="shared" si="8"/>
        <v>1.0037518881255189E-2</v>
      </c>
    </row>
    <row r="98" spans="1:9">
      <c r="A98" s="1">
        <v>45566</v>
      </c>
      <c r="B98">
        <v>226.21</v>
      </c>
      <c r="C98">
        <v>258.02</v>
      </c>
      <c r="D98">
        <v>207.04</v>
      </c>
      <c r="G98">
        <f t="shared" si="6"/>
        <v>-2.5134491577740239E-3</v>
      </c>
      <c r="H98">
        <f t="shared" si="7"/>
        <v>3.614167536744025E-2</v>
      </c>
      <c r="I98">
        <f t="shared" si="8"/>
        <v>-1.2060398475565632E-3</v>
      </c>
    </row>
    <row r="99" spans="1:9">
      <c r="A99" s="1">
        <v>45565</v>
      </c>
      <c r="B99">
        <v>233</v>
      </c>
      <c r="C99">
        <v>261.63</v>
      </c>
      <c r="D99">
        <v>210.86</v>
      </c>
      <c r="G99">
        <f t="shared" ref="G99:G127" si="9">(B99-B98)/B98</f>
        <v>3.0016356482914071E-2</v>
      </c>
      <c r="H99">
        <f t="shared" ref="H99:H127" si="10">(C99-C98)/C98</f>
        <v>1.3991163475699613E-2</v>
      </c>
      <c r="I99">
        <f t="shared" ref="I99:I127" si="11">(D99-D98)/D98</f>
        <v>1.8450540958269038E-2</v>
      </c>
    </row>
    <row r="100" spans="1:9">
      <c r="A100" s="1">
        <v>45562</v>
      </c>
      <c r="B100">
        <v>227.79</v>
      </c>
      <c r="C100">
        <v>260.45999999999998</v>
      </c>
      <c r="D100">
        <v>210.5</v>
      </c>
      <c r="G100">
        <f t="shared" si="9"/>
        <v>-2.2360515021459262E-2</v>
      </c>
      <c r="H100">
        <f t="shared" si="10"/>
        <v>-4.4719642242862668E-3</v>
      </c>
      <c r="I100">
        <f t="shared" si="11"/>
        <v>-1.7072939391065808E-3</v>
      </c>
    </row>
    <row r="101" spans="1:9">
      <c r="A101" s="1">
        <v>45561</v>
      </c>
      <c r="B101">
        <v>227.52</v>
      </c>
      <c r="C101">
        <v>254.22</v>
      </c>
      <c r="D101">
        <v>209.78</v>
      </c>
      <c r="G101">
        <f t="shared" si="9"/>
        <v>-1.185302252074199E-3</v>
      </c>
      <c r="H101">
        <f t="shared" si="10"/>
        <v>-2.3957613453121328E-2</v>
      </c>
      <c r="I101">
        <f t="shared" si="11"/>
        <v>-3.4204275534441752E-3</v>
      </c>
    </row>
    <row r="102" spans="1:9">
      <c r="A102" s="1">
        <v>45560</v>
      </c>
      <c r="B102">
        <v>226.37</v>
      </c>
      <c r="C102">
        <v>257.02</v>
      </c>
      <c r="D102">
        <v>210.19</v>
      </c>
      <c r="G102">
        <f t="shared" si="9"/>
        <v>-5.0545007032349052E-3</v>
      </c>
      <c r="H102">
        <f t="shared" si="10"/>
        <v>1.101408229092905E-2</v>
      </c>
      <c r="I102">
        <f t="shared" si="11"/>
        <v>1.9544284488511613E-3</v>
      </c>
    </row>
    <row r="103" spans="1:9">
      <c r="A103" s="1">
        <v>45559</v>
      </c>
      <c r="B103">
        <v>227.37</v>
      </c>
      <c r="C103">
        <v>254.27</v>
      </c>
      <c r="D103">
        <v>211.59</v>
      </c>
      <c r="G103">
        <f t="shared" si="9"/>
        <v>4.4175464946768564E-3</v>
      </c>
      <c r="H103">
        <f t="shared" si="10"/>
        <v>-1.0699556454750493E-2</v>
      </c>
      <c r="I103">
        <f t="shared" si="11"/>
        <v>6.6606403729958883E-3</v>
      </c>
    </row>
    <row r="104" spans="1:9">
      <c r="A104" s="1">
        <v>45558</v>
      </c>
      <c r="B104">
        <v>226.47</v>
      </c>
      <c r="C104">
        <v>250</v>
      </c>
      <c r="D104">
        <v>211.44</v>
      </c>
      <c r="G104">
        <f t="shared" si="9"/>
        <v>-3.9583058450983226E-3</v>
      </c>
      <c r="H104">
        <f t="shared" si="10"/>
        <v>-1.6793172611790655E-2</v>
      </c>
      <c r="I104">
        <f t="shared" si="11"/>
        <v>-7.0891819084080378E-4</v>
      </c>
    </row>
    <row r="105" spans="1:9">
      <c r="A105" s="1">
        <v>45555</v>
      </c>
      <c r="B105">
        <v>228.2</v>
      </c>
      <c r="C105">
        <v>238.25</v>
      </c>
      <c r="D105">
        <v>211.09</v>
      </c>
      <c r="G105">
        <f t="shared" si="9"/>
        <v>7.6389808804697744E-3</v>
      </c>
      <c r="H105">
        <f t="shared" si="10"/>
        <v>-4.7E-2</v>
      </c>
      <c r="I105">
        <f t="shared" si="11"/>
        <v>-1.655315928868683E-3</v>
      </c>
    </row>
    <row r="106" spans="1:9">
      <c r="A106" s="1">
        <v>45554</v>
      </c>
      <c r="B106">
        <v>228.87</v>
      </c>
      <c r="C106">
        <v>243.92</v>
      </c>
      <c r="D106">
        <v>210.48</v>
      </c>
      <c r="G106">
        <f t="shared" si="9"/>
        <v>2.9360210341806132E-3</v>
      </c>
      <c r="H106">
        <f t="shared" si="10"/>
        <v>2.3798530954879275E-2</v>
      </c>
      <c r="I106">
        <f t="shared" si="11"/>
        <v>-2.8897626604766384E-3</v>
      </c>
    </row>
    <row r="107" spans="1:9">
      <c r="A107" s="1">
        <v>45553</v>
      </c>
      <c r="B107">
        <v>220.69</v>
      </c>
      <c r="C107">
        <v>227.2</v>
      </c>
      <c r="D107">
        <v>207.53</v>
      </c>
      <c r="G107">
        <f t="shared" si="9"/>
        <v>-3.5740813562284299E-2</v>
      </c>
      <c r="H107">
        <f t="shared" si="10"/>
        <v>-6.8547064611347977E-2</v>
      </c>
      <c r="I107">
        <f t="shared" si="11"/>
        <v>-1.4015583428354185E-2</v>
      </c>
    </row>
    <row r="108" spans="1:9">
      <c r="A108" s="1">
        <v>45552</v>
      </c>
      <c r="B108">
        <v>216.79</v>
      </c>
      <c r="C108">
        <v>227.87</v>
      </c>
      <c r="D108">
        <v>209.25</v>
      </c>
      <c r="G108">
        <f t="shared" si="9"/>
        <v>-1.7671847387738481E-2</v>
      </c>
      <c r="H108">
        <f t="shared" si="10"/>
        <v>2.9489436619719012E-3</v>
      </c>
      <c r="I108">
        <f t="shared" si="11"/>
        <v>8.2879583674649385E-3</v>
      </c>
    </row>
    <row r="109" spans="1:9">
      <c r="A109" s="1">
        <v>45551</v>
      </c>
      <c r="B109">
        <v>216.32</v>
      </c>
      <c r="C109">
        <v>226.78</v>
      </c>
      <c r="D109">
        <v>207.86</v>
      </c>
      <c r="G109">
        <f t="shared" si="9"/>
        <v>-2.1679966788135932E-3</v>
      </c>
      <c r="H109">
        <f t="shared" si="10"/>
        <v>-4.7834291481985494E-3</v>
      </c>
      <c r="I109">
        <f t="shared" si="11"/>
        <v>-6.6427718040620613E-3</v>
      </c>
    </row>
    <row r="110" spans="1:9">
      <c r="A110" s="1">
        <v>45548</v>
      </c>
      <c r="B110">
        <v>222.5</v>
      </c>
      <c r="C110">
        <v>230.29</v>
      </c>
      <c r="D110">
        <v>204.32</v>
      </c>
      <c r="G110">
        <f t="shared" si="9"/>
        <v>2.8568786982248552E-2</v>
      </c>
      <c r="H110">
        <f t="shared" si="10"/>
        <v>1.547755533997703E-2</v>
      </c>
      <c r="I110">
        <f t="shared" si="11"/>
        <v>-1.7030693736168671E-2</v>
      </c>
    </row>
    <row r="111" spans="1:9">
      <c r="A111" s="1">
        <v>45547</v>
      </c>
      <c r="B111">
        <v>222.77</v>
      </c>
      <c r="C111">
        <v>229.81</v>
      </c>
      <c r="D111">
        <v>206.6</v>
      </c>
      <c r="G111">
        <f t="shared" si="9"/>
        <v>1.2134831460674617E-3</v>
      </c>
      <c r="H111">
        <f t="shared" si="10"/>
        <v>-2.0843284554257231E-3</v>
      </c>
      <c r="I111">
        <f t="shared" si="11"/>
        <v>1.1158966327329685E-2</v>
      </c>
    </row>
    <row r="112" spans="1:9">
      <c r="A112" s="1">
        <v>45546</v>
      </c>
      <c r="B112">
        <v>222.66</v>
      </c>
      <c r="C112">
        <v>228.13</v>
      </c>
      <c r="D112">
        <v>207.23</v>
      </c>
      <c r="G112">
        <f t="shared" si="9"/>
        <v>-4.9378282533560911E-4</v>
      </c>
      <c r="H112">
        <f t="shared" si="10"/>
        <v>-7.3103868413037154E-3</v>
      </c>
      <c r="I112">
        <f t="shared" si="11"/>
        <v>3.0493707647628048E-3</v>
      </c>
    </row>
    <row r="113" spans="1:9">
      <c r="A113" s="1">
        <v>45545</v>
      </c>
      <c r="B113">
        <v>220.11</v>
      </c>
      <c r="C113">
        <v>226.17</v>
      </c>
      <c r="D113">
        <v>205.56</v>
      </c>
      <c r="G113">
        <f t="shared" si="9"/>
        <v>-1.1452438695769259E-2</v>
      </c>
      <c r="H113">
        <f t="shared" si="10"/>
        <v>-8.5915925130408445E-3</v>
      </c>
      <c r="I113">
        <f t="shared" si="11"/>
        <v>-8.0586787627273445E-3</v>
      </c>
    </row>
    <row r="114" spans="1:9">
      <c r="A114" s="1">
        <v>45544</v>
      </c>
      <c r="B114">
        <v>220.91</v>
      </c>
      <c r="C114">
        <v>216.27</v>
      </c>
      <c r="D114">
        <v>216.81</v>
      </c>
      <c r="G114">
        <f t="shared" si="9"/>
        <v>3.6345463631819678E-3</v>
      </c>
      <c r="H114">
        <f t="shared" si="10"/>
        <v>-4.3772383605252589E-2</v>
      </c>
      <c r="I114">
        <f t="shared" si="11"/>
        <v>5.4728546409807358E-2</v>
      </c>
    </row>
    <row r="115" spans="1:9">
      <c r="A115" s="1">
        <v>45541</v>
      </c>
      <c r="B115">
        <v>220.82</v>
      </c>
      <c r="C115">
        <v>210.73</v>
      </c>
      <c r="D115">
        <v>212.46</v>
      </c>
      <c r="G115">
        <f t="shared" si="9"/>
        <v>-4.0740573084062929E-4</v>
      </c>
      <c r="H115">
        <f t="shared" si="10"/>
        <v>-2.5616127988163036E-2</v>
      </c>
      <c r="I115">
        <f t="shared" si="11"/>
        <v>-2.0063650200636475E-2</v>
      </c>
    </row>
    <row r="116" spans="1:9">
      <c r="A116" s="1">
        <v>45540</v>
      </c>
      <c r="B116">
        <v>222.38</v>
      </c>
      <c r="C116">
        <v>230.17</v>
      </c>
      <c r="D116">
        <v>217.63</v>
      </c>
      <c r="G116">
        <f t="shared" si="9"/>
        <v>7.0645774839235686E-3</v>
      </c>
      <c r="H116">
        <f t="shared" si="10"/>
        <v>9.2250747401888669E-2</v>
      </c>
      <c r="I116">
        <f t="shared" si="11"/>
        <v>2.4333992280899875E-2</v>
      </c>
    </row>
    <row r="117" spans="1:9">
      <c r="A117" s="1">
        <v>45539</v>
      </c>
      <c r="B117">
        <v>220.85</v>
      </c>
      <c r="C117">
        <v>219.41</v>
      </c>
      <c r="D117">
        <v>219.33</v>
      </c>
      <c r="G117">
        <f t="shared" si="9"/>
        <v>-6.8801151182660367E-3</v>
      </c>
      <c r="H117">
        <f t="shared" si="10"/>
        <v>-4.6748055784854636E-2</v>
      </c>
      <c r="I117">
        <f t="shared" si="11"/>
        <v>7.8114230574829625E-3</v>
      </c>
    </row>
    <row r="118" spans="1:9">
      <c r="A118" s="1">
        <v>45538</v>
      </c>
      <c r="B118">
        <v>222.77</v>
      </c>
      <c r="C118">
        <v>210.6</v>
      </c>
      <c r="D118">
        <v>220.3</v>
      </c>
      <c r="G118">
        <f t="shared" si="9"/>
        <v>8.6936834955853113E-3</v>
      </c>
      <c r="H118">
        <f t="shared" si="10"/>
        <v>-4.015313796089514E-2</v>
      </c>
      <c r="I118">
        <f t="shared" si="11"/>
        <v>4.4225596133679792E-3</v>
      </c>
    </row>
    <row r="119" spans="1:9">
      <c r="A119" s="1">
        <v>45534</v>
      </c>
      <c r="B119">
        <v>229</v>
      </c>
      <c r="C119">
        <v>214.11</v>
      </c>
      <c r="D119">
        <v>224.8</v>
      </c>
      <c r="G119">
        <f t="shared" si="9"/>
        <v>2.7966063653095074E-2</v>
      </c>
      <c r="H119">
        <f t="shared" si="10"/>
        <v>1.666666666666676E-2</v>
      </c>
      <c r="I119">
        <f t="shared" si="11"/>
        <v>2.0426690876078075E-2</v>
      </c>
    </row>
    <row r="120" spans="1:9">
      <c r="A120" s="1">
        <v>45533</v>
      </c>
      <c r="B120">
        <v>229.79</v>
      </c>
      <c r="C120">
        <v>206.28</v>
      </c>
      <c r="D120">
        <v>222.21</v>
      </c>
      <c r="G120">
        <f t="shared" si="9"/>
        <v>3.4497816593886117E-3</v>
      </c>
      <c r="H120">
        <f t="shared" si="10"/>
        <v>-3.6569987389659574E-2</v>
      </c>
      <c r="I120">
        <f t="shared" si="11"/>
        <v>-1.1521352313167274E-2</v>
      </c>
    </row>
    <row r="121" spans="1:9">
      <c r="A121" s="1">
        <v>45532</v>
      </c>
      <c r="B121">
        <v>226.49</v>
      </c>
      <c r="C121">
        <v>205.75</v>
      </c>
      <c r="D121">
        <v>221.29</v>
      </c>
      <c r="G121">
        <f t="shared" si="9"/>
        <v>-1.4360938247965461E-2</v>
      </c>
      <c r="H121">
        <f t="shared" si="10"/>
        <v>-2.5693232499515279E-3</v>
      </c>
      <c r="I121">
        <f t="shared" si="11"/>
        <v>-4.1402277125242599E-3</v>
      </c>
    </row>
    <row r="122" spans="1:9">
      <c r="A122" s="1">
        <v>45531</v>
      </c>
      <c r="B122">
        <v>228.03</v>
      </c>
      <c r="C122">
        <v>209.21</v>
      </c>
      <c r="D122">
        <v>220.18</v>
      </c>
      <c r="G122">
        <f t="shared" si="9"/>
        <v>6.7994171928120089E-3</v>
      </c>
      <c r="H122">
        <f t="shared" si="10"/>
        <v>1.6816524908870027E-2</v>
      </c>
      <c r="I122">
        <f t="shared" si="11"/>
        <v>-5.0160422974376848E-3</v>
      </c>
    </row>
    <row r="123" spans="1:9">
      <c r="A123" s="1">
        <v>45530</v>
      </c>
      <c r="B123">
        <v>227.18</v>
      </c>
      <c r="C123">
        <v>213.21</v>
      </c>
      <c r="D123">
        <v>219.17</v>
      </c>
      <c r="G123">
        <f t="shared" si="9"/>
        <v>-3.7275797044248314E-3</v>
      </c>
      <c r="H123">
        <f t="shared" si="10"/>
        <v>1.9119544954830075E-2</v>
      </c>
      <c r="I123">
        <f t="shared" si="11"/>
        <v>-4.5871559633028402E-3</v>
      </c>
    </row>
    <row r="124" spans="1:9">
      <c r="A124" s="1">
        <v>45527</v>
      </c>
      <c r="B124">
        <v>226.84</v>
      </c>
      <c r="C124">
        <v>220.32</v>
      </c>
      <c r="D124">
        <v>218.31</v>
      </c>
      <c r="G124">
        <f t="shared" si="9"/>
        <v>-1.4966106171318046E-3</v>
      </c>
      <c r="H124">
        <f t="shared" si="10"/>
        <v>3.3347403967918882E-2</v>
      </c>
      <c r="I124">
        <f t="shared" si="11"/>
        <v>-3.9238946936167602E-3</v>
      </c>
    </row>
    <row r="125" spans="1:9">
      <c r="A125" s="1">
        <v>45526</v>
      </c>
      <c r="B125">
        <v>224.53</v>
      </c>
      <c r="C125">
        <v>210.66</v>
      </c>
      <c r="D125">
        <v>216.63</v>
      </c>
      <c r="G125">
        <f t="shared" si="9"/>
        <v>-1.0183389172985374E-2</v>
      </c>
      <c r="H125">
        <f t="shared" si="10"/>
        <v>-4.3845315904139419E-2</v>
      </c>
      <c r="I125">
        <f t="shared" si="11"/>
        <v>-7.6954789061426726E-3</v>
      </c>
    </row>
    <row r="126" spans="1:9">
      <c r="A126" s="1">
        <v>45525</v>
      </c>
      <c r="B126">
        <v>226.4</v>
      </c>
      <c r="C126">
        <v>223.27</v>
      </c>
      <c r="D126">
        <v>214.6</v>
      </c>
      <c r="G126">
        <f t="shared" si="9"/>
        <v>8.3285084398521565E-3</v>
      </c>
      <c r="H126">
        <f t="shared" si="10"/>
        <v>5.9859489224342609E-2</v>
      </c>
      <c r="I126">
        <f t="shared" si="11"/>
        <v>-9.3708165997322679E-3</v>
      </c>
    </row>
    <row r="127" spans="1:9">
      <c r="A127" s="1">
        <v>45524</v>
      </c>
      <c r="B127">
        <v>226.51</v>
      </c>
      <c r="C127">
        <v>221.1</v>
      </c>
      <c r="D127">
        <v>214.52</v>
      </c>
      <c r="G127">
        <f t="shared" si="9"/>
        <v>4.8586572438156014E-4</v>
      </c>
      <c r="H127">
        <f t="shared" si="10"/>
        <v>-9.7191740941461723E-3</v>
      </c>
      <c r="I127">
        <f t="shared" si="11"/>
        <v>-3.7278657968305726E-4</v>
      </c>
    </row>
    <row r="130" spans="1:4">
      <c r="A130" t="s">
        <v>9</v>
      </c>
      <c r="B130">
        <f>_xlfn.STDEV.P(G3:G127)</f>
        <v>1.3700145160768376E-2</v>
      </c>
      <c r="C130">
        <f>_xlfn.STDEV.P(H3:H127)</f>
        <v>4.0605222465539909E-2</v>
      </c>
      <c r="D130">
        <f>_xlfn.STDEV.P(I3:I127)</f>
        <v>1.6091638555628493E-2</v>
      </c>
    </row>
    <row r="131" spans="1:4">
      <c r="B131" t="s">
        <v>10</v>
      </c>
      <c r="C131" s="4" t="s">
        <v>12</v>
      </c>
      <c r="D131" t="s">
        <v>11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7CDCB-259F-E244-8D07-B6DCC1643C22}">
  <sheetPr codeName="Sheet3"/>
  <dimension ref="A1:I4"/>
  <sheetViews>
    <sheetView workbookViewId="0">
      <selection activeCell="F11" sqref="F11"/>
    </sheetView>
  </sheetViews>
  <sheetFormatPr baseColWidth="10" defaultRowHeight="15"/>
  <cols>
    <col min="1" max="1" width="12.33203125" customWidth="1"/>
    <col min="2" max="2" width="11.83203125" customWidth="1"/>
    <col min="3" max="3" width="12.83203125" customWidth="1"/>
    <col min="4" max="4" width="13.1640625" customWidth="1"/>
    <col min="6" max="6" width="14" customWidth="1"/>
    <col min="10" max="10" width="20.5" customWidth="1"/>
  </cols>
  <sheetData>
    <row r="1" spans="1:9">
      <c r="A1" t="s">
        <v>13</v>
      </c>
      <c r="B1" t="s">
        <v>14</v>
      </c>
      <c r="C1" t="s">
        <v>15</v>
      </c>
      <c r="D1" t="s">
        <v>16</v>
      </c>
    </row>
    <row r="2" spans="1:9">
      <c r="A2" t="s">
        <v>8</v>
      </c>
      <c r="B2" s="3">
        <v>1.3700145E-2</v>
      </c>
      <c r="C2" s="3">
        <v>4.0605222000000003E-2</v>
      </c>
      <c r="D2" s="3">
        <v>1.6091639000000001E-2</v>
      </c>
      <c r="F2" s="3"/>
      <c r="G2" s="3"/>
      <c r="H2" s="3"/>
      <c r="I2" s="3"/>
    </row>
    <row r="3" spans="1:9">
      <c r="A3" t="s">
        <v>17</v>
      </c>
      <c r="B3" s="3">
        <v>0.21748306212526883</v>
      </c>
      <c r="C3" s="3">
        <v>0.64458792344562954</v>
      </c>
      <c r="D3" s="3">
        <v>0.25544684283438962</v>
      </c>
    </row>
    <row r="4" spans="1:9">
      <c r="A4" t="s">
        <v>18</v>
      </c>
      <c r="B4" s="3">
        <v>0.17940716593699668</v>
      </c>
      <c r="C4" s="3">
        <v>1.5887399196892993</v>
      </c>
      <c r="D4" s="3">
        <v>0.55221387960847745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65151-7192-2B42-9CF3-5D11B6060662}">
  <sheetPr codeName="Sheet12"/>
  <dimension ref="A1:L36"/>
  <sheetViews>
    <sheetView tabSelected="1" topLeftCell="A14" zoomScale="94" zoomScaleNormal="100" workbookViewId="0">
      <selection activeCell="A15" sqref="A15"/>
    </sheetView>
  </sheetViews>
  <sheetFormatPr baseColWidth="10" defaultRowHeight="15"/>
  <cols>
    <col min="1" max="1" width="25.1640625" customWidth="1"/>
    <col min="2" max="3" width="20.6640625" customWidth="1"/>
    <col min="4" max="4" width="13.1640625" customWidth="1"/>
    <col min="5" max="5" width="14.5" customWidth="1"/>
    <col min="6" max="6" width="13.33203125" customWidth="1"/>
    <col min="7" max="7" width="22.83203125" customWidth="1"/>
    <col min="8" max="8" width="13.6640625" customWidth="1"/>
    <col min="9" max="9" width="17.6640625" customWidth="1"/>
    <col min="10" max="10" width="14.1640625" customWidth="1"/>
  </cols>
  <sheetData>
    <row r="1" spans="1:12">
      <c r="A1" s="10" t="s">
        <v>27</v>
      </c>
      <c r="B1" s="11" t="s">
        <v>20</v>
      </c>
      <c r="C1" s="11" t="s">
        <v>4</v>
      </c>
      <c r="D1" s="11" t="s">
        <v>19</v>
      </c>
      <c r="G1" s="13" t="s">
        <v>26</v>
      </c>
      <c r="H1" s="14"/>
      <c r="I1" s="14"/>
      <c r="J1" s="14"/>
      <c r="K1" s="14"/>
      <c r="L1" s="15"/>
    </row>
    <row r="2" spans="1:12">
      <c r="A2" s="6" t="s">
        <v>20</v>
      </c>
      <c r="B2" s="6">
        <f>VARP(Worksheet!$G$2:$G$127)</f>
        <v>1.8769397742612518E-4</v>
      </c>
      <c r="C2" s="6">
        <v>1.44720891280618E-4</v>
      </c>
      <c r="D2" s="6">
        <v>1.3040000000000001E-5</v>
      </c>
      <c r="G2" s="6" t="s">
        <v>21</v>
      </c>
      <c r="H2" s="6" t="s">
        <v>22</v>
      </c>
      <c r="I2" s="6" t="s">
        <v>23</v>
      </c>
      <c r="J2" s="6" t="s">
        <v>25</v>
      </c>
      <c r="K2" s="6" t="s">
        <v>24</v>
      </c>
      <c r="L2" s="6"/>
    </row>
    <row r="3" spans="1:12" ht="16">
      <c r="A3" s="6" t="s">
        <v>4</v>
      </c>
      <c r="B3" s="6">
        <v>1.44720891280618E-4</v>
      </c>
      <c r="C3" s="6">
        <f>VARP(Worksheet!$H$2:$H$127)</f>
        <v>1.6487840914759871E-3</v>
      </c>
      <c r="D3" s="6">
        <v>1.5394572083910301E-4</v>
      </c>
      <c r="G3" s="7">
        <v>0.58470658022481992</v>
      </c>
      <c r="H3" s="7">
        <v>0</v>
      </c>
      <c r="I3" s="7">
        <v>0.41529341977514633</v>
      </c>
      <c r="J3" s="8">
        <f>SUM(G3:I3)</f>
        <v>0.99999999999996625</v>
      </c>
      <c r="K3" s="9">
        <f>(G3^2*B2)+(H3^2*C3)+(I3^2*D4)+(2*G3*H3*B3)+(2*G3*I3*B4)+(2*H3*I3*C4)</f>
        <v>1.1516119171041652E-4</v>
      </c>
      <c r="L3" s="6"/>
    </row>
    <row r="4" spans="1:12">
      <c r="A4" s="6" t="s">
        <v>19</v>
      </c>
      <c r="B4" s="6">
        <v>1.3040000000000001E-5</v>
      </c>
      <c r="C4" s="6">
        <v>1.5394572083910301E-4</v>
      </c>
      <c r="D4" s="6">
        <f>VARP(Worksheet!$I$2:$I$127)</f>
        <v>2.5894083140498943E-4</v>
      </c>
    </row>
    <row r="6" spans="1:12" ht="16">
      <c r="E6" s="2"/>
    </row>
    <row r="7" spans="1:12" ht="16">
      <c r="G7" s="16" t="s">
        <v>28</v>
      </c>
      <c r="H7" s="17"/>
      <c r="I7" s="17"/>
      <c r="J7" s="17"/>
    </row>
    <row r="8" spans="1:12" ht="18">
      <c r="A8" s="12" t="s">
        <v>32</v>
      </c>
      <c r="G8" s="12" t="s">
        <v>29</v>
      </c>
      <c r="H8" s="12">
        <v>4.7500000000000001E-2</v>
      </c>
    </row>
    <row r="9" spans="1:12" ht="18">
      <c r="A9" s="12" t="s">
        <v>14</v>
      </c>
      <c r="B9" s="12">
        <v>-0.13089999999999999</v>
      </c>
      <c r="G9" s="12"/>
      <c r="I9" s="12" t="s">
        <v>38</v>
      </c>
      <c r="J9">
        <f>B9-$H$8</f>
        <v>-0.1784</v>
      </c>
    </row>
    <row r="10" spans="1:12" ht="18">
      <c r="A10" s="12" t="s">
        <v>16</v>
      </c>
      <c r="B10" s="12">
        <v>-0.33179999999999998</v>
      </c>
      <c r="G10" s="12" t="s">
        <v>30</v>
      </c>
      <c r="H10" s="12" t="s">
        <v>31</v>
      </c>
      <c r="I10" t="s">
        <v>39</v>
      </c>
      <c r="J10">
        <f>B10-$H$8</f>
        <v>-0.37929999999999997</v>
      </c>
    </row>
    <row r="11" spans="1:12" ht="18">
      <c r="G11" s="12" t="s">
        <v>14</v>
      </c>
      <c r="H11" s="12">
        <f>0.3746</f>
        <v>0.37459999999999999</v>
      </c>
    </row>
    <row r="12" spans="1:12" ht="19">
      <c r="G12" s="12" t="s">
        <v>16</v>
      </c>
      <c r="H12" s="12">
        <f>1-H11</f>
        <v>0.62539999999999996</v>
      </c>
      <c r="I12" s="5"/>
    </row>
    <row r="13" spans="1:12" ht="18">
      <c r="G13" s="12" t="s">
        <v>25</v>
      </c>
      <c r="H13" s="12">
        <f>SUM(H11:H12)</f>
        <v>1</v>
      </c>
    </row>
    <row r="14" spans="1:12" ht="18">
      <c r="H14" s="12"/>
    </row>
    <row r="15" spans="1:12" ht="18">
      <c r="G15" s="12" t="s">
        <v>33</v>
      </c>
    </row>
    <row r="16" spans="1:12" ht="18">
      <c r="G16" s="12" t="s">
        <v>34</v>
      </c>
      <c r="H16" s="12">
        <f>(H11*B9)+(H12*B10)</f>
        <v>-0.25654285999999998</v>
      </c>
    </row>
    <row r="17" spans="1:8" ht="18">
      <c r="G17" s="12" t="s">
        <v>35</v>
      </c>
      <c r="H17">
        <f>(H11^2*B2)+(H12^2*D4)+(2*H11*H12*B4)</f>
        <v>1.3372634935436689E-4</v>
      </c>
    </row>
    <row r="18" spans="1:8" ht="18">
      <c r="G18" s="12" t="s">
        <v>36</v>
      </c>
      <c r="H18" s="12">
        <f>SQRT(H17)</f>
        <v>1.1564010954438209E-2</v>
      </c>
    </row>
    <row r="19" spans="1:8" ht="18">
      <c r="G19" s="12" t="s">
        <v>37</v>
      </c>
      <c r="H19" s="12">
        <f>(H16-H8)/H18</f>
        <v>-26.292162918032336</v>
      </c>
    </row>
    <row r="22" spans="1:8">
      <c r="A22" s="20" t="s">
        <v>40</v>
      </c>
      <c r="B22" s="20"/>
      <c r="C22" s="20"/>
      <c r="D22" s="20"/>
      <c r="E22" s="20"/>
      <c r="F22" s="20"/>
    </row>
    <row r="23" spans="1:8" ht="18">
      <c r="A23" s="12" t="s">
        <v>41</v>
      </c>
      <c r="B23" s="12" t="s">
        <v>44</v>
      </c>
      <c r="C23" s="12" t="s">
        <v>42</v>
      </c>
      <c r="D23" s="12" t="s">
        <v>34</v>
      </c>
      <c r="E23" s="12" t="s">
        <v>43</v>
      </c>
      <c r="F23" s="12" t="s">
        <v>37</v>
      </c>
    </row>
    <row r="24" spans="1:8" ht="18">
      <c r="A24" s="19">
        <v>0</v>
      </c>
      <c r="B24">
        <f>1-C24</f>
        <v>1</v>
      </c>
      <c r="C24" s="12">
        <v>0</v>
      </c>
      <c r="D24">
        <f>B24*H8+C24*H16</f>
        <v>4.7500000000000001E-2</v>
      </c>
      <c r="E24" s="12">
        <f>C24*H18</f>
        <v>0</v>
      </c>
      <c r="F24">
        <f>IF(E24=0,0,(D24-H8)/E24)</f>
        <v>0</v>
      </c>
    </row>
    <row r="25" spans="1:8" ht="18">
      <c r="A25" s="19">
        <v>0.2</v>
      </c>
      <c r="B25">
        <f t="shared" ref="B25:B29" si="0">1-C25</f>
        <v>0.8</v>
      </c>
      <c r="C25" s="12">
        <v>0.2</v>
      </c>
      <c r="D25">
        <f>B25*H8+C25*H16</f>
        <v>-1.3308571999999991E-2</v>
      </c>
      <c r="E25" s="12">
        <f>C25*H18</f>
        <v>2.3128021908876417E-3</v>
      </c>
      <c r="F25">
        <f>IF(E25=0,0,(D25-H8)/E25)</f>
        <v>-26.292162918032332</v>
      </c>
    </row>
    <row r="26" spans="1:8" ht="18">
      <c r="A26" s="18">
        <v>0.4</v>
      </c>
      <c r="B26">
        <f t="shared" si="0"/>
        <v>0.6</v>
      </c>
      <c r="C26" s="12">
        <v>0.4</v>
      </c>
      <c r="D26">
        <f>B26*H8+C26*H16</f>
        <v>-7.4117143999999996E-2</v>
      </c>
      <c r="E26">
        <f>C26*H18</f>
        <v>4.6256043817752834E-3</v>
      </c>
      <c r="F26">
        <f>IF(E26=0,0,(D26-H8)/E26)</f>
        <v>-26.292162918032336</v>
      </c>
    </row>
    <row r="27" spans="1:8" ht="18">
      <c r="A27" s="18">
        <v>0.6</v>
      </c>
      <c r="B27">
        <f t="shared" si="0"/>
        <v>0.4</v>
      </c>
      <c r="C27" s="12">
        <v>0.6</v>
      </c>
      <c r="D27">
        <f>B27*H8+C27*H16</f>
        <v>-0.13492571599999997</v>
      </c>
      <c r="E27" s="12">
        <f>C27*H18</f>
        <v>6.9384065726629252E-3</v>
      </c>
      <c r="F27">
        <f>IF(E27=0,0,(D27-H8)/E27)</f>
        <v>-26.292162918032332</v>
      </c>
    </row>
    <row r="28" spans="1:8" ht="18">
      <c r="A28" s="18">
        <v>0.8</v>
      </c>
      <c r="B28">
        <f t="shared" si="0"/>
        <v>0.19999999999999996</v>
      </c>
      <c r="C28" s="12">
        <v>0.8</v>
      </c>
      <c r="D28">
        <f>B28*H8+C28*H16</f>
        <v>-0.19573428799999998</v>
      </c>
      <c r="E28">
        <f>C28*H18</f>
        <v>9.2512087635505669E-3</v>
      </c>
      <c r="F28">
        <f>IF(E28=0,0,(D28-H8)/E28)</f>
        <v>-26.292162918032332</v>
      </c>
    </row>
    <row r="29" spans="1:8" ht="18">
      <c r="A29" s="18">
        <v>1</v>
      </c>
      <c r="B29">
        <f t="shared" si="0"/>
        <v>0</v>
      </c>
      <c r="C29" s="12">
        <v>1</v>
      </c>
      <c r="D29">
        <f>B29*H8+C29*H16</f>
        <v>-0.25654285999999998</v>
      </c>
      <c r="E29" s="12">
        <f>C29*H18</f>
        <v>1.1564010954438209E-2</v>
      </c>
      <c r="F29">
        <f>IF(E29=0,0,(D29-H8)/E29)</f>
        <v>-26.292162918032336</v>
      </c>
    </row>
    <row r="36" spans="4:4">
      <c r="D36" t="s">
        <v>45</v>
      </c>
    </row>
  </sheetData>
  <mergeCells count="3">
    <mergeCell ref="G7:J7"/>
    <mergeCell ref="G1:L1"/>
    <mergeCell ref="A22:F22"/>
  </mergeCells>
  <pageMargins left="0.7" right="0.7" top="0.75" bottom="0.75" header="0.3" footer="0.3"/>
  <pageSetup paperSize="9" orientation="portrait" horizontalDpi="0" verticalDpi="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03EFC6982A3E49B93B844C7FCD583B" ma:contentTypeVersion="13" ma:contentTypeDescription="Create a new document." ma:contentTypeScope="" ma:versionID="844d2e70f6d8ac7da29b9a785b115ad2">
  <xsd:schema xmlns:xsd="http://www.w3.org/2001/XMLSchema" xmlns:xs="http://www.w3.org/2001/XMLSchema" xmlns:p="http://schemas.microsoft.com/office/2006/metadata/properties" xmlns:ns3="b7be8240-149b-427d-8eba-7bb1ff6225dd" xmlns:ns4="869da506-bace-44af-a899-86cec871751e" targetNamespace="http://schemas.microsoft.com/office/2006/metadata/properties" ma:root="true" ma:fieldsID="849def42fe3467ce002ebe410beb9e60" ns3:_="" ns4:_="">
    <xsd:import namespace="b7be8240-149b-427d-8eba-7bb1ff6225dd"/>
    <xsd:import namespace="869da506-bace-44af-a899-86cec871751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be8240-149b-427d-8eba-7bb1ff6225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9da506-bace-44af-a899-86cec871751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7be8240-149b-427d-8eba-7bb1ff6225dd" xsi:nil="true"/>
  </documentManagement>
</p:properties>
</file>

<file path=customXml/itemProps1.xml><?xml version="1.0" encoding="utf-8"?>
<ds:datastoreItem xmlns:ds="http://schemas.openxmlformats.org/officeDocument/2006/customXml" ds:itemID="{54369462-1F0D-4C4F-A789-5E931DF54E3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A446E90-8415-4A7F-BB78-DD09B5C9BA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7be8240-149b-427d-8eba-7bb1ff6225dd"/>
    <ds:schemaRef ds:uri="869da506-bace-44af-a899-86cec871751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18F7F32-4E43-429B-89CF-EC10CEB187E9}">
  <ds:schemaRefs>
    <ds:schemaRef ds:uri="869da506-bace-44af-a899-86cec871751e"/>
    <ds:schemaRef ds:uri="http://schemas.microsoft.com/office/2006/metadata/properties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infopath/2007/PartnerControls"/>
    <ds:schemaRef ds:uri="b7be8240-149b-427d-8eba-7bb1ff6225dd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Worksheet</vt:lpstr>
      <vt:lpstr>Analysis</vt:lpstr>
      <vt:lpstr>Covariance, GMVP,  ORP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lzweig</dc:creator>
  <cp:lastModifiedBy>Viktoria Podyman</cp:lastModifiedBy>
  <dcterms:created xsi:type="dcterms:W3CDTF">2013-04-03T15:49:21Z</dcterms:created>
  <dcterms:modified xsi:type="dcterms:W3CDTF">2025-03-13T12:32:35Z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0x010100B603EFC6982A3E49B93B844C7FCD583B</vt:lpwstr>
  </property>
</Properties>
</file>